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  <sheet state="visible" name="h1input" sheetId="2" r:id="rId6"/>
    <sheet state="visible" name="Hoja 2" sheetId="3" r:id="rId7"/>
  </sheets>
  <definedNames/>
  <calcPr/>
</workbook>
</file>

<file path=xl/sharedStrings.xml><?xml version="1.0" encoding="utf-8"?>
<sst xmlns="http://schemas.openxmlformats.org/spreadsheetml/2006/main" count="152" uniqueCount="47">
  <si>
    <t>ang referencia</t>
  </si>
  <si>
    <t>600 lineas /mm</t>
  </si>
  <si>
    <t>m</t>
  </si>
  <si>
    <t>color</t>
  </si>
  <si>
    <t>lambda</t>
  </si>
  <si>
    <t>theta_1</t>
  </si>
  <si>
    <t>theta_2</t>
  </si>
  <si>
    <t>ref</t>
  </si>
  <si>
    <t>theta_rel_1</t>
  </si>
  <si>
    <t>theta_rel_2</t>
  </si>
  <si>
    <t>theta_avg</t>
  </si>
  <si>
    <t>cte red (l/m)</t>
  </si>
  <si>
    <t>Cd</t>
  </si>
  <si>
    <t>violeta debil</t>
  </si>
  <si>
    <t>violeta/azul</t>
  </si>
  <si>
    <t>azul</t>
  </si>
  <si>
    <t>verde</t>
  </si>
  <si>
    <t>rojo</t>
  </si>
  <si>
    <t>media -&gt;</t>
  </si>
  <si>
    <t xml:space="preserve">cte </t>
  </si>
  <si>
    <t>ang referencia (º)</t>
  </si>
  <si>
    <t>(He)</t>
  </si>
  <si>
    <t>pa un lao ( derecha</t>
  </si>
  <si>
    <t>pa el otro lao</t>
  </si>
  <si>
    <t>(izquierda)</t>
  </si>
  <si>
    <t xml:space="preserve">theta </t>
  </si>
  <si>
    <t>theta_1_rel</t>
  </si>
  <si>
    <t>theta_2_rel</t>
  </si>
  <si>
    <t>cte red (l/mm)</t>
  </si>
  <si>
    <t>wl (nm)</t>
  </si>
  <si>
    <t>theta _1</t>
  </si>
  <si>
    <t>violeta oscuro</t>
  </si>
  <si>
    <t>violeta</t>
  </si>
  <si>
    <t>perrryelornitorrinco</t>
  </si>
  <si>
    <t>teal</t>
  </si>
  <si>
    <t>verdefuerte</t>
  </si>
  <si>
    <t>verdeflojo</t>
  </si>
  <si>
    <t xml:space="preserve">? </t>
  </si>
  <si>
    <t>?</t>
  </si>
  <si>
    <t>naranja</t>
  </si>
  <si>
    <t>rojo oscuro</t>
  </si>
  <si>
    <t>red</t>
  </si>
  <si>
    <t>orange</t>
  </si>
  <si>
    <t>yellow</t>
  </si>
  <si>
    <t>blue-green</t>
  </si>
  <si>
    <t>blue-violet</t>
  </si>
  <si>
    <t>violet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</si>
</sst>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#,##0.0000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color rgb="FFFFFFFF"/>
      <name val="Arial"/>
      <scheme val="minor"/>
    </font>
    <font>
      <color theme="1"/>
      <name val="Arial"/>
    </font>
    <font>
      <color rgb="FFFFFFFF"/>
      <name val="Arial"/>
    </font>
  </fonts>
  <fills count="16">
    <fill>
      <patternFill patternType="none"/>
    </fill>
    <fill>
      <patternFill patternType="lightGray"/>
    </fill>
    <fill>
      <patternFill patternType="solid">
        <fgColor rgb="FF8E7CC3"/>
        <bgColor rgb="FF8E7CC3"/>
      </patternFill>
    </fill>
    <fill>
      <patternFill patternType="solid">
        <fgColor rgb="FF9900FF"/>
        <bgColor rgb="FF9900FF"/>
      </patternFill>
    </fill>
    <fill>
      <patternFill patternType="solid">
        <fgColor rgb="FF1155CC"/>
        <bgColor rgb="FF1155CC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674EA7"/>
        <bgColor rgb="FF674EA7"/>
      </patternFill>
    </fill>
    <fill>
      <patternFill patternType="solid">
        <fgColor rgb="FF308068"/>
        <bgColor rgb="FF308068"/>
      </patternFill>
    </fill>
    <fill>
      <patternFill patternType="solid">
        <fgColor theme="7"/>
        <bgColor theme="7"/>
      </patternFill>
    </fill>
    <fill>
      <patternFill patternType="solid">
        <fgColor rgb="FF34A853"/>
        <bgColor rgb="FF34A853"/>
      </patternFill>
    </fill>
    <fill>
      <patternFill patternType="solid">
        <fgColor rgb="FF4EFF22"/>
        <bgColor rgb="FF4EFF22"/>
      </patternFill>
    </fill>
    <fill>
      <patternFill patternType="solid">
        <fgColor rgb="FFB4FFA1"/>
        <bgColor rgb="FFB4FFA1"/>
      </patternFill>
    </fill>
    <fill>
      <patternFill patternType="solid">
        <fgColor rgb="FFFFFFEE"/>
        <bgColor rgb="FFFFFFEE"/>
      </patternFill>
    </fill>
    <fill>
      <patternFill patternType="solid">
        <fgColor rgb="FFFF9900"/>
        <bgColor rgb="FFFF9900"/>
      </patternFill>
    </fill>
    <fill>
      <patternFill patternType="solid">
        <fgColor rgb="FF990000"/>
        <bgColor rgb="FF990000"/>
      </patternFill>
    </fill>
  </fills>
  <borders count="15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left style="thick">
        <color rgb="FF000000"/>
      </left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right style="thick">
        <color rgb="FF000000"/>
      </right>
    </border>
  </borders>
  <cellStyleXfs count="1">
    <xf borderId="0" fillId="0" fontId="0" numFmtId="0" applyAlignment="1" applyFont="1"/>
  </cellStyleXfs>
  <cellXfs count="10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1" numFmtId="0" xfId="0" applyAlignment="1" applyBorder="1" applyFont="1">
      <alignment readingOrder="0"/>
    </xf>
    <xf borderId="2" fillId="2" fontId="1" numFmtId="0" xfId="0" applyAlignment="1" applyBorder="1" applyFill="1" applyFont="1">
      <alignment readingOrder="0"/>
    </xf>
    <xf borderId="3" fillId="2" fontId="1" numFmtId="0" xfId="0" applyAlignment="1" applyBorder="1" applyFont="1">
      <alignment readingOrder="0"/>
    </xf>
    <xf borderId="1" fillId="2" fontId="1" numFmtId="0" xfId="0" applyAlignment="1" applyBorder="1" applyFont="1">
      <alignment readingOrder="0"/>
    </xf>
    <xf borderId="1" fillId="2" fontId="1" numFmtId="0" xfId="0" applyBorder="1" applyFont="1"/>
    <xf borderId="4" fillId="3" fontId="2" numFmtId="0" xfId="0" applyAlignment="1" applyBorder="1" applyFill="1" applyFont="1">
      <alignment readingOrder="0"/>
    </xf>
    <xf borderId="0" fillId="3" fontId="2" numFmtId="0" xfId="0" applyAlignment="1" applyFont="1">
      <alignment readingOrder="0"/>
    </xf>
    <xf borderId="1" fillId="3" fontId="2" numFmtId="0" xfId="0" applyAlignment="1" applyBorder="1" applyFont="1">
      <alignment readingOrder="0"/>
    </xf>
    <xf borderId="1" fillId="3" fontId="2" numFmtId="0" xfId="0" applyBorder="1" applyFont="1"/>
    <xf borderId="4" fillId="4" fontId="2" numFmtId="0" xfId="0" applyAlignment="1" applyBorder="1" applyFill="1" applyFont="1">
      <alignment readingOrder="0"/>
    </xf>
    <xf borderId="0" fillId="4" fontId="2" numFmtId="0" xfId="0" applyAlignment="1" applyFont="1">
      <alignment readingOrder="0"/>
    </xf>
    <xf borderId="1" fillId="4" fontId="2" numFmtId="0" xfId="0" applyAlignment="1" applyBorder="1" applyFont="1">
      <alignment readingOrder="0"/>
    </xf>
    <xf borderId="1" fillId="4" fontId="2" numFmtId="0" xfId="0" applyBorder="1" applyFont="1"/>
    <xf borderId="4" fillId="5" fontId="1" numFmtId="0" xfId="0" applyAlignment="1" applyBorder="1" applyFill="1" applyFont="1">
      <alignment readingOrder="0"/>
    </xf>
    <xf borderId="0" fillId="5" fontId="1" numFmtId="0" xfId="0" applyAlignment="1" applyFont="1">
      <alignment readingOrder="0"/>
    </xf>
    <xf borderId="1" fillId="5" fontId="1" numFmtId="0" xfId="0" applyAlignment="1" applyBorder="1" applyFont="1">
      <alignment readingOrder="0"/>
    </xf>
    <xf borderId="1" fillId="5" fontId="1" numFmtId="0" xfId="0" applyBorder="1" applyFont="1"/>
    <xf borderId="5" fillId="6" fontId="1" numFmtId="0" xfId="0" applyAlignment="1" applyBorder="1" applyFill="1" applyFont="1">
      <alignment readingOrder="0"/>
    </xf>
    <xf borderId="6" fillId="6" fontId="1" numFmtId="0" xfId="0" applyAlignment="1" applyBorder="1" applyFont="1">
      <alignment readingOrder="0"/>
    </xf>
    <xf borderId="1" fillId="6" fontId="1" numFmtId="0" xfId="0" applyAlignment="1" applyBorder="1" applyFont="1">
      <alignment readingOrder="0"/>
    </xf>
    <xf borderId="1" fillId="6" fontId="1" numFmtId="0" xfId="0" applyBorder="1" applyFont="1"/>
    <xf borderId="7" fillId="0" fontId="1" numFmtId="0" xfId="0" applyAlignment="1" applyBorder="1" applyFont="1">
      <alignment readingOrder="0"/>
    </xf>
    <xf borderId="8" fillId="0" fontId="1" numFmtId="0" xfId="0" applyBorder="1" applyFont="1"/>
    <xf borderId="0" fillId="0" fontId="1" numFmtId="0" xfId="0" applyFont="1"/>
    <xf borderId="7" fillId="2" fontId="1" numFmtId="0" xfId="0" applyAlignment="1" applyBorder="1" applyFont="1">
      <alignment readingOrder="0"/>
    </xf>
    <xf borderId="7" fillId="3" fontId="2" numFmtId="0" xfId="0" applyAlignment="1" applyBorder="1" applyFont="1">
      <alignment readingOrder="0"/>
    </xf>
    <xf borderId="7" fillId="4" fontId="2" numFmtId="0" xfId="0" applyAlignment="1" applyBorder="1" applyFont="1">
      <alignment readingOrder="0"/>
    </xf>
    <xf borderId="7" fillId="5" fontId="1" numFmtId="0" xfId="0" applyAlignment="1" applyBorder="1" applyFont="1">
      <alignment readingOrder="0"/>
    </xf>
    <xf borderId="7" fillId="6" fontId="1" numFmtId="0" xfId="0" applyAlignment="1" applyBorder="1" applyFont="1">
      <alignment readingOrder="0"/>
    </xf>
    <xf borderId="7" fillId="2" fontId="1" numFmtId="0" xfId="0" applyBorder="1" applyFont="1"/>
    <xf borderId="7" fillId="3" fontId="2" numFmtId="0" xfId="0" applyBorder="1" applyFont="1"/>
    <xf borderId="9" fillId="0" fontId="1" numFmtId="0" xfId="0" applyAlignment="1" applyBorder="1" applyFont="1">
      <alignment readingOrder="0"/>
    </xf>
    <xf borderId="10" fillId="0" fontId="1" numFmtId="0" xfId="0" applyAlignment="1" applyBorder="1" applyFont="1">
      <alignment readingOrder="0"/>
    </xf>
    <xf borderId="10" fillId="0" fontId="3" numFmtId="0" xfId="0" applyAlignment="1" applyBorder="1" applyFont="1">
      <alignment vertical="bottom"/>
    </xf>
    <xf borderId="2" fillId="7" fontId="2" numFmtId="0" xfId="0" applyAlignment="1" applyBorder="1" applyFill="1" applyFont="1">
      <alignment readingOrder="0"/>
    </xf>
    <xf borderId="3" fillId="7" fontId="2" numFmtId="0" xfId="0" applyAlignment="1" applyBorder="1" applyFont="1">
      <alignment readingOrder="0"/>
    </xf>
    <xf borderId="11" fillId="7" fontId="2" numFmtId="0" xfId="0" applyAlignment="1" applyBorder="1" applyFont="1">
      <alignment readingOrder="0"/>
    </xf>
    <xf borderId="11" fillId="7" fontId="4" numFmtId="0" xfId="0" applyAlignment="1" applyBorder="1" applyFont="1">
      <alignment horizontal="right" vertical="bottom"/>
    </xf>
    <xf borderId="11" fillId="7" fontId="4" numFmtId="164" xfId="0" applyAlignment="1" applyBorder="1" applyFont="1" applyNumberFormat="1">
      <alignment horizontal="right" vertical="bottom"/>
    </xf>
    <xf borderId="11" fillId="7" fontId="2" numFmtId="164" xfId="0" applyAlignment="1" applyBorder="1" applyFont="1" applyNumberFormat="1">
      <alignment readingOrder="0"/>
    </xf>
    <xf borderId="0" fillId="0" fontId="1" numFmtId="164" xfId="0" applyFont="1" applyNumberFormat="1"/>
    <xf borderId="4" fillId="2" fontId="2" numFmtId="0" xfId="0" applyAlignment="1" applyBorder="1" applyFont="1">
      <alignment readingOrder="0"/>
    </xf>
    <xf borderId="0" fillId="2" fontId="2" numFmtId="0" xfId="0" applyAlignment="1" applyFont="1">
      <alignment readingOrder="0"/>
    </xf>
    <xf borderId="12" fillId="2" fontId="2" numFmtId="0" xfId="0" applyAlignment="1" applyBorder="1" applyFont="1">
      <alignment readingOrder="0"/>
    </xf>
    <xf borderId="12" fillId="2" fontId="4" numFmtId="0" xfId="0" applyAlignment="1" applyBorder="1" applyFont="1">
      <alignment horizontal="right" vertical="bottom"/>
    </xf>
    <xf borderId="12" fillId="2" fontId="4" numFmtId="164" xfId="0" applyAlignment="1" applyBorder="1" applyFont="1" applyNumberFormat="1">
      <alignment horizontal="right" vertical="bottom"/>
    </xf>
    <xf borderId="12" fillId="2" fontId="2" numFmtId="164" xfId="0" applyAlignment="1" applyBorder="1" applyFont="1" applyNumberFormat="1">
      <alignment readingOrder="0"/>
    </xf>
    <xf borderId="0" fillId="0" fontId="1" numFmtId="165" xfId="0" applyAlignment="1" applyFont="1" applyNumberFormat="1">
      <alignment readingOrder="0"/>
    </xf>
    <xf borderId="4" fillId="8" fontId="2" numFmtId="0" xfId="0" applyAlignment="1" applyBorder="1" applyFill="1" applyFont="1">
      <alignment readingOrder="0"/>
    </xf>
    <xf borderId="0" fillId="8" fontId="2" numFmtId="0" xfId="0" applyAlignment="1" applyFont="1">
      <alignment readingOrder="0"/>
    </xf>
    <xf borderId="12" fillId="8" fontId="2" numFmtId="0" xfId="0" applyAlignment="1" applyBorder="1" applyFont="1">
      <alignment readingOrder="0"/>
    </xf>
    <xf borderId="12" fillId="8" fontId="4" numFmtId="0" xfId="0" applyAlignment="1" applyBorder="1" applyFont="1">
      <alignment horizontal="right" vertical="bottom"/>
    </xf>
    <xf borderId="12" fillId="8" fontId="4" numFmtId="164" xfId="0" applyAlignment="1" applyBorder="1" applyFont="1" applyNumberFormat="1">
      <alignment horizontal="right" vertical="bottom"/>
    </xf>
    <xf borderId="12" fillId="8" fontId="2" numFmtId="164" xfId="0" applyAlignment="1" applyBorder="1" applyFont="1" applyNumberFormat="1">
      <alignment readingOrder="0"/>
    </xf>
    <xf borderId="4" fillId="9" fontId="1" numFmtId="0" xfId="0" applyAlignment="1" applyBorder="1" applyFill="1" applyFont="1">
      <alignment readingOrder="0"/>
    </xf>
    <xf borderId="0" fillId="9" fontId="1" numFmtId="0" xfId="0" applyAlignment="1" applyFont="1">
      <alignment readingOrder="0"/>
    </xf>
    <xf borderId="12" fillId="9" fontId="1" numFmtId="0" xfId="0" applyAlignment="1" applyBorder="1" applyFont="1">
      <alignment readingOrder="0"/>
    </xf>
    <xf borderId="12" fillId="10" fontId="3" numFmtId="0" xfId="0" applyAlignment="1" applyBorder="1" applyFill="1" applyFont="1">
      <alignment horizontal="right" vertical="bottom"/>
    </xf>
    <xf borderId="12" fillId="10" fontId="3" numFmtId="164" xfId="0" applyAlignment="1" applyBorder="1" applyFont="1" applyNumberFormat="1">
      <alignment horizontal="right" vertical="bottom"/>
    </xf>
    <xf borderId="12" fillId="9" fontId="1" numFmtId="164" xfId="0" applyAlignment="1" applyBorder="1" applyFont="1" applyNumberFormat="1">
      <alignment readingOrder="0"/>
    </xf>
    <xf borderId="4" fillId="11" fontId="1" numFmtId="0" xfId="0" applyAlignment="1" applyBorder="1" applyFill="1" applyFont="1">
      <alignment readingOrder="0"/>
    </xf>
    <xf borderId="0" fillId="11" fontId="1" numFmtId="0" xfId="0" applyAlignment="1" applyFont="1">
      <alignment readingOrder="0"/>
    </xf>
    <xf borderId="12" fillId="11" fontId="1" numFmtId="0" xfId="0" applyAlignment="1" applyBorder="1" applyFont="1">
      <alignment readingOrder="0"/>
    </xf>
    <xf borderId="12" fillId="11" fontId="3" numFmtId="0" xfId="0" applyAlignment="1" applyBorder="1" applyFont="1">
      <alignment horizontal="right" vertical="bottom"/>
    </xf>
    <xf borderId="12" fillId="11" fontId="3" numFmtId="164" xfId="0" applyAlignment="1" applyBorder="1" applyFont="1" applyNumberFormat="1">
      <alignment horizontal="right" vertical="bottom"/>
    </xf>
    <xf borderId="12" fillId="11" fontId="1" numFmtId="164" xfId="0" applyAlignment="1" applyBorder="1" applyFont="1" applyNumberFormat="1">
      <alignment readingOrder="0"/>
    </xf>
    <xf borderId="4" fillId="12" fontId="1" numFmtId="0" xfId="0" applyAlignment="1" applyBorder="1" applyFill="1" applyFont="1">
      <alignment readingOrder="0"/>
    </xf>
    <xf borderId="0" fillId="12" fontId="1" numFmtId="0" xfId="0" applyAlignment="1" applyFont="1">
      <alignment readingOrder="0"/>
    </xf>
    <xf borderId="12" fillId="12" fontId="1" numFmtId="0" xfId="0" applyAlignment="1" applyBorder="1" applyFont="1">
      <alignment readingOrder="0"/>
    </xf>
    <xf borderId="12" fillId="12" fontId="3" numFmtId="0" xfId="0" applyAlignment="1" applyBorder="1" applyFont="1">
      <alignment horizontal="right" vertical="bottom"/>
    </xf>
    <xf borderId="12" fillId="12" fontId="3" numFmtId="0" xfId="0" applyAlignment="1" applyBorder="1" applyFont="1">
      <alignment horizontal="center" vertical="bottom"/>
    </xf>
    <xf borderId="12" fillId="12" fontId="3" numFmtId="164" xfId="0" applyAlignment="1" applyBorder="1" applyFont="1" applyNumberFormat="1">
      <alignment horizontal="center" vertical="bottom"/>
    </xf>
    <xf borderId="12" fillId="12" fontId="1" numFmtId="164" xfId="0" applyAlignment="1" applyBorder="1" applyFont="1" applyNumberFormat="1">
      <alignment readingOrder="0"/>
    </xf>
    <xf borderId="0" fillId="13" fontId="1" numFmtId="0" xfId="0" applyAlignment="1" applyFill="1" applyFont="1">
      <alignment readingOrder="0"/>
    </xf>
    <xf borderId="4" fillId="14" fontId="1" numFmtId="0" xfId="0" applyAlignment="1" applyBorder="1" applyFill="1" applyFont="1">
      <alignment readingOrder="0"/>
    </xf>
    <xf borderId="0" fillId="14" fontId="1" numFmtId="0" xfId="0" applyAlignment="1" applyFont="1">
      <alignment readingOrder="0"/>
    </xf>
    <xf borderId="12" fillId="14" fontId="1" numFmtId="0" xfId="0" applyAlignment="1" applyBorder="1" applyFont="1">
      <alignment readingOrder="0"/>
    </xf>
    <xf borderId="12" fillId="14" fontId="3" numFmtId="0" xfId="0" applyAlignment="1" applyBorder="1" applyFont="1">
      <alignment horizontal="right" vertical="bottom"/>
    </xf>
    <xf borderId="12" fillId="14" fontId="3" numFmtId="164" xfId="0" applyAlignment="1" applyBorder="1" applyFont="1" applyNumberFormat="1">
      <alignment horizontal="right" vertical="bottom"/>
    </xf>
    <xf borderId="12" fillId="14" fontId="1" numFmtId="164" xfId="0" applyAlignment="1" applyBorder="1" applyFont="1" applyNumberFormat="1">
      <alignment readingOrder="0"/>
    </xf>
    <xf borderId="0" fillId="13" fontId="1" numFmtId="0" xfId="0" applyAlignment="1" applyFont="1">
      <alignment horizontal="center" readingOrder="0"/>
    </xf>
    <xf borderId="4" fillId="6" fontId="1" numFmtId="0" xfId="0" applyAlignment="1" applyBorder="1" applyFont="1">
      <alignment readingOrder="0"/>
    </xf>
    <xf borderId="0" fillId="6" fontId="1" numFmtId="0" xfId="0" applyAlignment="1" applyFont="1">
      <alignment readingOrder="0"/>
    </xf>
    <xf borderId="12" fillId="6" fontId="1" numFmtId="0" xfId="0" applyAlignment="1" applyBorder="1" applyFont="1">
      <alignment readingOrder="0"/>
    </xf>
    <xf borderId="12" fillId="6" fontId="3" numFmtId="0" xfId="0" applyAlignment="1" applyBorder="1" applyFont="1">
      <alignment horizontal="right" vertical="bottom"/>
    </xf>
    <xf borderId="12" fillId="6" fontId="3" numFmtId="164" xfId="0" applyAlignment="1" applyBorder="1" applyFont="1" applyNumberFormat="1">
      <alignment horizontal="right" vertical="bottom"/>
    </xf>
    <xf borderId="12" fillId="6" fontId="1" numFmtId="164" xfId="0" applyAlignment="1" applyBorder="1" applyFont="1" applyNumberFormat="1">
      <alignment readingOrder="0"/>
    </xf>
    <xf borderId="5" fillId="15" fontId="1" numFmtId="0" xfId="0" applyAlignment="1" applyBorder="1" applyFill="1" applyFont="1">
      <alignment readingOrder="0"/>
    </xf>
    <xf borderId="6" fillId="15" fontId="1" numFmtId="0" xfId="0" applyAlignment="1" applyBorder="1" applyFont="1">
      <alignment readingOrder="0"/>
    </xf>
    <xf borderId="13" fillId="15" fontId="1" numFmtId="0" xfId="0" applyAlignment="1" applyBorder="1" applyFont="1">
      <alignment readingOrder="0"/>
    </xf>
    <xf borderId="13" fillId="15" fontId="3" numFmtId="0" xfId="0" applyAlignment="1" applyBorder="1" applyFont="1">
      <alignment horizontal="right" vertical="bottom"/>
    </xf>
    <xf borderId="13" fillId="15" fontId="3" numFmtId="164" xfId="0" applyAlignment="1" applyBorder="1" applyFont="1" applyNumberFormat="1">
      <alignment horizontal="right" vertical="bottom"/>
    </xf>
    <xf borderId="13" fillId="15" fontId="1" numFmtId="164" xfId="0" applyAlignment="1" applyBorder="1" applyFont="1" applyNumberFormat="1">
      <alignment readingOrder="0"/>
    </xf>
    <xf borderId="12" fillId="12" fontId="3" numFmtId="164" xfId="0" applyAlignment="1" applyBorder="1" applyFont="1" applyNumberFormat="1">
      <alignment horizontal="right" vertical="bottom"/>
    </xf>
    <xf borderId="10" fillId="7" fontId="2" numFmtId="0" xfId="0" applyAlignment="1" applyBorder="1" applyFont="1">
      <alignment readingOrder="0"/>
    </xf>
    <xf borderId="14" fillId="2" fontId="2" numFmtId="0" xfId="0" applyAlignment="1" applyBorder="1" applyFont="1">
      <alignment readingOrder="0"/>
    </xf>
    <xf borderId="3" fillId="0" fontId="1" numFmtId="0" xfId="0" applyBorder="1" applyFont="1"/>
    <xf borderId="3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25"/>
  </cols>
  <sheetData>
    <row r="1">
      <c r="A1" s="1" t="s">
        <v>0</v>
      </c>
      <c r="B1" s="1">
        <v>54.7</v>
      </c>
      <c r="C1" s="1">
        <v>54.7</v>
      </c>
    </row>
    <row r="2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M2" s="2" t="s">
        <v>2</v>
      </c>
      <c r="N2" s="2" t="s">
        <v>3</v>
      </c>
      <c r="O2" s="2" t="s">
        <v>4</v>
      </c>
      <c r="P2" s="2" t="s">
        <v>5</v>
      </c>
      <c r="Q2" s="2" t="s">
        <v>6</v>
      </c>
      <c r="R2" s="2" t="s">
        <v>7</v>
      </c>
      <c r="S2" s="2" t="s">
        <v>8</v>
      </c>
      <c r="T2" s="2" t="s">
        <v>9</v>
      </c>
      <c r="U2" s="2" t="s">
        <v>10</v>
      </c>
      <c r="V2" s="2" t="s">
        <v>11</v>
      </c>
    </row>
    <row r="3">
      <c r="A3" s="1" t="s">
        <v>12</v>
      </c>
      <c r="B3" s="3">
        <v>1.0</v>
      </c>
      <c r="C3" s="4" t="s">
        <v>13</v>
      </c>
      <c r="D3" s="5">
        <v>441.3</v>
      </c>
      <c r="E3" s="5">
        <v>70.3</v>
      </c>
      <c r="F3" s="5">
        <v>70.2</v>
      </c>
      <c r="G3" s="6">
        <f>B1</f>
        <v>54.7</v>
      </c>
      <c r="H3" s="5">
        <f t="shared" ref="H3:H12" si="1">E3-G3</f>
        <v>15.6</v>
      </c>
      <c r="I3" s="5">
        <f t="shared" ref="I3:I12" si="2">F3-G3</f>
        <v>15.5</v>
      </c>
      <c r="J3" s="5">
        <f t="shared" ref="J3:J12" si="3">AVERAGE(H3:I3)</f>
        <v>15.55</v>
      </c>
      <c r="K3" s="6">
        <f>SIN(J3*PI()/180)/(B3*D3/10^9)/1000</f>
        <v>607.4760943</v>
      </c>
      <c r="M3" s="3">
        <v>-1.0</v>
      </c>
      <c r="N3" s="4" t="s">
        <v>13</v>
      </c>
      <c r="O3" s="5">
        <v>441.3</v>
      </c>
      <c r="P3" s="5">
        <v>39.1</v>
      </c>
      <c r="Q3" s="6">
        <v>39.3</v>
      </c>
      <c r="R3" s="5">
        <f>B1</f>
        <v>54.7</v>
      </c>
      <c r="S3" s="5">
        <f t="shared" ref="S3:S12" si="4">P3-R3</f>
        <v>-15.6</v>
      </c>
      <c r="T3" s="5">
        <f t="shared" ref="T3:T12" si="5">Q3-R3</f>
        <v>-15.4</v>
      </c>
      <c r="U3" s="5">
        <f t="shared" ref="U3:U12" si="6">AVERAGE(S3:T3)</f>
        <v>-15.5</v>
      </c>
      <c r="V3" s="6">
        <f>SIN(U3*PI()/180)/(M3*O3/10^9)/1000</f>
        <v>605.5707593</v>
      </c>
    </row>
    <row r="4">
      <c r="B4" s="7">
        <v>1.0</v>
      </c>
      <c r="C4" s="8" t="s">
        <v>14</v>
      </c>
      <c r="D4" s="9">
        <v>467.8</v>
      </c>
      <c r="E4" s="9">
        <v>71.2</v>
      </c>
      <c r="F4" s="9">
        <v>71.2</v>
      </c>
      <c r="G4" s="10">
        <f t="shared" ref="G4:G12" si="7">G3</f>
        <v>54.7</v>
      </c>
      <c r="H4" s="9">
        <f t="shared" si="1"/>
        <v>16.5</v>
      </c>
      <c r="I4" s="9">
        <f t="shared" si="2"/>
        <v>16.5</v>
      </c>
      <c r="J4" s="9">
        <f t="shared" si="3"/>
        <v>16.5</v>
      </c>
      <c r="K4" s="10">
        <f t="shared" ref="K4:K12" si="8">SIN(H4*PI()/180)/(B4*D4/10^9)/1000</f>
        <v>607.1298519</v>
      </c>
      <c r="M4" s="7">
        <v>-1.0</v>
      </c>
      <c r="N4" s="8" t="s">
        <v>14</v>
      </c>
      <c r="O4" s="9">
        <v>467.8</v>
      </c>
      <c r="P4" s="9">
        <v>38.2</v>
      </c>
      <c r="Q4" s="10">
        <v>38.3</v>
      </c>
      <c r="R4" s="9">
        <f t="shared" ref="R4:R12" si="9">R3</f>
        <v>54.7</v>
      </c>
      <c r="S4" s="9">
        <f t="shared" si="4"/>
        <v>-16.5</v>
      </c>
      <c r="T4" s="9">
        <f t="shared" si="5"/>
        <v>-16.4</v>
      </c>
      <c r="U4" s="9">
        <f t="shared" si="6"/>
        <v>-16.45</v>
      </c>
      <c r="V4" s="10">
        <f t="shared" ref="V4:V12" si="10">SIN(S4*PI()/180)/(M4*O4/10^9)/1000</f>
        <v>607.1298519</v>
      </c>
    </row>
    <row r="5">
      <c r="B5" s="11">
        <v>1.0</v>
      </c>
      <c r="C5" s="12" t="s">
        <v>15</v>
      </c>
      <c r="D5" s="13">
        <v>480.0</v>
      </c>
      <c r="E5" s="13">
        <v>71.7</v>
      </c>
      <c r="F5" s="13">
        <v>71.7</v>
      </c>
      <c r="G5" s="14">
        <f t="shared" si="7"/>
        <v>54.7</v>
      </c>
      <c r="H5" s="13">
        <f t="shared" si="1"/>
        <v>17</v>
      </c>
      <c r="I5" s="13">
        <f t="shared" si="2"/>
        <v>17</v>
      </c>
      <c r="J5" s="13">
        <f t="shared" si="3"/>
        <v>17</v>
      </c>
      <c r="K5" s="14">
        <f t="shared" si="8"/>
        <v>609.1077182</v>
      </c>
      <c r="M5" s="11">
        <v>-1.0</v>
      </c>
      <c r="N5" s="12" t="s">
        <v>15</v>
      </c>
      <c r="O5" s="13">
        <v>480.0</v>
      </c>
      <c r="P5" s="13">
        <v>37.7</v>
      </c>
      <c r="Q5" s="14">
        <v>37.8</v>
      </c>
      <c r="R5" s="13">
        <f t="shared" si="9"/>
        <v>54.7</v>
      </c>
      <c r="S5" s="13">
        <f t="shared" si="4"/>
        <v>-17</v>
      </c>
      <c r="T5" s="13">
        <f t="shared" si="5"/>
        <v>-16.9</v>
      </c>
      <c r="U5" s="13">
        <f t="shared" si="6"/>
        <v>-16.95</v>
      </c>
      <c r="V5" s="14">
        <f t="shared" si="10"/>
        <v>609.1077182</v>
      </c>
    </row>
    <row r="6">
      <c r="B6" s="15">
        <v>1.0</v>
      </c>
      <c r="C6" s="16" t="s">
        <v>16</v>
      </c>
      <c r="D6" s="17">
        <v>508.6</v>
      </c>
      <c r="E6" s="17">
        <v>72.7</v>
      </c>
      <c r="F6" s="17">
        <v>72.7</v>
      </c>
      <c r="G6" s="18">
        <f t="shared" si="7"/>
        <v>54.7</v>
      </c>
      <c r="H6" s="17">
        <f t="shared" si="1"/>
        <v>18</v>
      </c>
      <c r="I6" s="17">
        <f t="shared" si="2"/>
        <v>18</v>
      </c>
      <c r="J6" s="17">
        <f t="shared" si="3"/>
        <v>18</v>
      </c>
      <c r="K6" s="18">
        <f t="shared" si="8"/>
        <v>607.5835517</v>
      </c>
      <c r="M6" s="15">
        <v>-1.0</v>
      </c>
      <c r="N6" s="16" t="s">
        <v>16</v>
      </c>
      <c r="O6" s="17">
        <v>508.6</v>
      </c>
      <c r="P6" s="17">
        <v>36.7</v>
      </c>
      <c r="Q6" s="18">
        <v>36.8</v>
      </c>
      <c r="R6" s="17">
        <f t="shared" si="9"/>
        <v>54.7</v>
      </c>
      <c r="S6" s="17">
        <f t="shared" si="4"/>
        <v>-18</v>
      </c>
      <c r="T6" s="17">
        <f t="shared" si="5"/>
        <v>-17.9</v>
      </c>
      <c r="U6" s="17">
        <f t="shared" si="6"/>
        <v>-17.95</v>
      </c>
      <c r="V6" s="18">
        <f t="shared" si="10"/>
        <v>607.5835517</v>
      </c>
    </row>
    <row r="7">
      <c r="B7" s="19">
        <v>1.0</v>
      </c>
      <c r="C7" s="20" t="s">
        <v>17</v>
      </c>
      <c r="D7" s="21">
        <v>643.8</v>
      </c>
      <c r="E7" s="21">
        <v>77.8</v>
      </c>
      <c r="F7" s="21">
        <v>77.8</v>
      </c>
      <c r="G7" s="22">
        <f t="shared" si="7"/>
        <v>54.7</v>
      </c>
      <c r="H7" s="21">
        <f t="shared" si="1"/>
        <v>23.1</v>
      </c>
      <c r="I7" s="21">
        <f t="shared" si="2"/>
        <v>23.1</v>
      </c>
      <c r="J7" s="21">
        <f t="shared" si="3"/>
        <v>23.1</v>
      </c>
      <c r="K7" s="22">
        <f t="shared" si="8"/>
        <v>609.4083824</v>
      </c>
      <c r="M7" s="19">
        <v>-1.0</v>
      </c>
      <c r="N7" s="20" t="s">
        <v>17</v>
      </c>
      <c r="O7" s="21">
        <v>643.8</v>
      </c>
      <c r="P7" s="21">
        <v>31.8</v>
      </c>
      <c r="Q7" s="22">
        <v>31.8</v>
      </c>
      <c r="R7" s="21">
        <f t="shared" si="9"/>
        <v>54.7</v>
      </c>
      <c r="S7" s="21">
        <f t="shared" si="4"/>
        <v>-22.9</v>
      </c>
      <c r="T7" s="21">
        <f t="shared" si="5"/>
        <v>-22.9</v>
      </c>
      <c r="U7" s="21">
        <f t="shared" si="6"/>
        <v>-22.9</v>
      </c>
      <c r="V7" s="22">
        <f t="shared" si="10"/>
        <v>604.4174435</v>
      </c>
    </row>
    <row r="8">
      <c r="B8" s="3">
        <v>2.0</v>
      </c>
      <c r="C8" s="4" t="s">
        <v>13</v>
      </c>
      <c r="D8" s="5">
        <v>441.3</v>
      </c>
      <c r="E8" s="5">
        <v>87.3</v>
      </c>
      <c r="F8" s="5">
        <v>87.3</v>
      </c>
      <c r="G8" s="6">
        <f t="shared" si="7"/>
        <v>54.7</v>
      </c>
      <c r="H8" s="5">
        <f t="shared" si="1"/>
        <v>32.6</v>
      </c>
      <c r="I8" s="5">
        <f t="shared" si="2"/>
        <v>32.6</v>
      </c>
      <c r="J8" s="5">
        <f t="shared" si="3"/>
        <v>32.6</v>
      </c>
      <c r="K8" s="6">
        <f t="shared" si="8"/>
        <v>610.4359676</v>
      </c>
      <c r="M8" s="3">
        <v>-2.0</v>
      </c>
      <c r="N8" s="4" t="s">
        <v>13</v>
      </c>
      <c r="O8" s="5">
        <v>441.3</v>
      </c>
      <c r="P8" s="5">
        <v>22.5</v>
      </c>
      <c r="Q8" s="6">
        <v>22.5</v>
      </c>
      <c r="R8" s="5">
        <f t="shared" si="9"/>
        <v>54.7</v>
      </c>
      <c r="S8" s="5">
        <f t="shared" si="4"/>
        <v>-32.2</v>
      </c>
      <c r="T8" s="5">
        <f t="shared" si="5"/>
        <v>-32.2</v>
      </c>
      <c r="U8" s="5">
        <f t="shared" si="6"/>
        <v>-32.2</v>
      </c>
      <c r="V8" s="6">
        <f t="shared" si="10"/>
        <v>603.7573941</v>
      </c>
    </row>
    <row r="9">
      <c r="B9" s="7">
        <v>2.0</v>
      </c>
      <c r="C9" s="8" t="s">
        <v>14</v>
      </c>
      <c r="D9" s="9">
        <v>467.8</v>
      </c>
      <c r="E9" s="9">
        <v>89.5</v>
      </c>
      <c r="F9" s="9">
        <v>89.5</v>
      </c>
      <c r="G9" s="10">
        <f t="shared" si="7"/>
        <v>54.7</v>
      </c>
      <c r="H9" s="9">
        <f t="shared" si="1"/>
        <v>34.8</v>
      </c>
      <c r="I9" s="9">
        <f t="shared" si="2"/>
        <v>34.8</v>
      </c>
      <c r="J9" s="9">
        <f t="shared" si="3"/>
        <v>34.8</v>
      </c>
      <c r="K9" s="10">
        <f t="shared" si="8"/>
        <v>609.9974003</v>
      </c>
      <c r="M9" s="7">
        <v>-2.0</v>
      </c>
      <c r="N9" s="8" t="s">
        <v>14</v>
      </c>
      <c r="O9" s="9">
        <v>467.8</v>
      </c>
      <c r="P9" s="9">
        <v>20.4</v>
      </c>
      <c r="Q9" s="10">
        <v>20.5</v>
      </c>
      <c r="R9" s="9">
        <f t="shared" si="9"/>
        <v>54.7</v>
      </c>
      <c r="S9" s="9">
        <f t="shared" si="4"/>
        <v>-34.3</v>
      </c>
      <c r="T9" s="9">
        <f t="shared" si="5"/>
        <v>-34.2</v>
      </c>
      <c r="U9" s="9">
        <f t="shared" si="6"/>
        <v>-34.25</v>
      </c>
      <c r="V9" s="10">
        <f t="shared" si="10"/>
        <v>602.3151442</v>
      </c>
    </row>
    <row r="10">
      <c r="B10" s="11">
        <v>2.0</v>
      </c>
      <c r="C10" s="12" t="s">
        <v>15</v>
      </c>
      <c r="D10" s="13">
        <v>480.0</v>
      </c>
      <c r="E10" s="13">
        <v>90.6</v>
      </c>
      <c r="F10" s="13">
        <v>90.6</v>
      </c>
      <c r="G10" s="14">
        <f t="shared" si="7"/>
        <v>54.7</v>
      </c>
      <c r="H10" s="13">
        <f t="shared" si="1"/>
        <v>35.9</v>
      </c>
      <c r="I10" s="13">
        <f t="shared" si="2"/>
        <v>35.9</v>
      </c>
      <c r="J10" s="13">
        <f t="shared" si="3"/>
        <v>35.9</v>
      </c>
      <c r="K10" s="14">
        <f t="shared" si="8"/>
        <v>610.8045383</v>
      </c>
      <c r="M10" s="11">
        <v>-2.0</v>
      </c>
      <c r="N10" s="12" t="s">
        <v>15</v>
      </c>
      <c r="O10" s="13">
        <v>480.0</v>
      </c>
      <c r="P10" s="13">
        <v>19.3</v>
      </c>
      <c r="Q10" s="13">
        <v>19.6</v>
      </c>
      <c r="R10" s="13">
        <f t="shared" si="9"/>
        <v>54.7</v>
      </c>
      <c r="S10" s="13">
        <f t="shared" si="4"/>
        <v>-35.4</v>
      </c>
      <c r="T10" s="13">
        <f t="shared" si="5"/>
        <v>-35.1</v>
      </c>
      <c r="U10" s="13">
        <f t="shared" si="6"/>
        <v>-35.25</v>
      </c>
      <c r="V10" s="14">
        <f t="shared" si="10"/>
        <v>603.4178879</v>
      </c>
    </row>
    <row r="11">
      <c r="B11" s="15">
        <v>2.0</v>
      </c>
      <c r="C11" s="16" t="s">
        <v>16</v>
      </c>
      <c r="D11" s="17">
        <v>508.6</v>
      </c>
      <c r="E11" s="17">
        <v>93.0</v>
      </c>
      <c r="F11" s="17">
        <v>93.0</v>
      </c>
      <c r="G11" s="18">
        <f t="shared" si="7"/>
        <v>54.7</v>
      </c>
      <c r="H11" s="17">
        <f t="shared" si="1"/>
        <v>38.3</v>
      </c>
      <c r="I11" s="17">
        <f t="shared" si="2"/>
        <v>38.3</v>
      </c>
      <c r="J11" s="17">
        <f t="shared" si="3"/>
        <v>38.3</v>
      </c>
      <c r="K11" s="18">
        <f t="shared" si="8"/>
        <v>609.2990875</v>
      </c>
      <c r="M11" s="15">
        <v>-2.0</v>
      </c>
      <c r="N11" s="16" t="s">
        <v>16</v>
      </c>
      <c r="O11" s="17">
        <v>508.6</v>
      </c>
      <c r="P11" s="17">
        <v>16.9</v>
      </c>
      <c r="Q11" s="17">
        <v>16.1</v>
      </c>
      <c r="R11" s="17">
        <f t="shared" si="9"/>
        <v>54.7</v>
      </c>
      <c r="S11" s="17">
        <f t="shared" si="4"/>
        <v>-37.8</v>
      </c>
      <c r="T11" s="17">
        <f t="shared" si="5"/>
        <v>-38.6</v>
      </c>
      <c r="U11" s="17">
        <f t="shared" si="6"/>
        <v>-38.2</v>
      </c>
      <c r="V11" s="18">
        <f t="shared" si="10"/>
        <v>602.5433087</v>
      </c>
    </row>
    <row r="12">
      <c r="B12" s="19">
        <v>2.0</v>
      </c>
      <c r="C12" s="20" t="s">
        <v>17</v>
      </c>
      <c r="D12" s="21">
        <v>643.8</v>
      </c>
      <c r="E12" s="21">
        <v>106.6</v>
      </c>
      <c r="F12" s="21">
        <v>106.7</v>
      </c>
      <c r="G12" s="22">
        <f t="shared" si="7"/>
        <v>54.7</v>
      </c>
      <c r="H12" s="21">
        <f t="shared" si="1"/>
        <v>51.9</v>
      </c>
      <c r="I12" s="21">
        <f t="shared" si="2"/>
        <v>52</v>
      </c>
      <c r="J12" s="21">
        <f t="shared" si="3"/>
        <v>51.95</v>
      </c>
      <c r="K12" s="22">
        <f t="shared" si="8"/>
        <v>611.1641985</v>
      </c>
      <c r="M12" s="19">
        <v>-2.0</v>
      </c>
      <c r="N12" s="20" t="s">
        <v>17</v>
      </c>
      <c r="O12" s="21">
        <v>643.8</v>
      </c>
      <c r="P12" s="21">
        <v>3.9</v>
      </c>
      <c r="Q12" s="21">
        <v>3.9</v>
      </c>
      <c r="R12" s="21">
        <f t="shared" si="9"/>
        <v>54.7</v>
      </c>
      <c r="S12" s="21">
        <f t="shared" si="4"/>
        <v>-50.8</v>
      </c>
      <c r="T12" s="21">
        <f t="shared" si="5"/>
        <v>-50.8</v>
      </c>
      <c r="U12" s="21">
        <f t="shared" si="6"/>
        <v>-50.8</v>
      </c>
      <c r="V12" s="22">
        <f t="shared" si="10"/>
        <v>601.8518862</v>
      </c>
    </row>
    <row r="13">
      <c r="J13" s="23" t="s">
        <v>18</v>
      </c>
      <c r="K13" s="24">
        <f>AVERAGE(K3:K12)</f>
        <v>609.2406791</v>
      </c>
      <c r="U13" s="23" t="s">
        <v>18</v>
      </c>
      <c r="V13" s="24">
        <f>AVERAGE(V3:V12)</f>
        <v>604.7694946</v>
      </c>
    </row>
    <row r="16">
      <c r="G16" s="25">
        <f t="shared" ref="G16:G25" si="11">(SIN((D3-$B$1)*PI()/180))/(B3*D3/10^6)</f>
        <v>1014.636501</v>
      </c>
    </row>
    <row r="17">
      <c r="G17" s="25">
        <f t="shared" si="11"/>
        <v>1709.458441</v>
      </c>
    </row>
    <row r="18">
      <c r="G18" s="25">
        <f t="shared" si="11"/>
        <v>1892.72537</v>
      </c>
    </row>
    <row r="19">
      <c r="G19" s="25">
        <f t="shared" si="11"/>
        <v>1961.628547</v>
      </c>
      <c r="P19" s="1" t="s">
        <v>19</v>
      </c>
    </row>
    <row r="20">
      <c r="G20" s="25">
        <f t="shared" si="11"/>
        <v>-1174.050123</v>
      </c>
      <c r="P20" s="25">
        <f t="shared" ref="P20:P29" si="12">(SIN((O3-$B$1)*PI()/180))/(M3*O3/10^6)</f>
        <v>-1014.636501</v>
      </c>
    </row>
    <row r="21">
      <c r="G21" s="25">
        <f t="shared" si="11"/>
        <v>507.3182504</v>
      </c>
      <c r="P21" s="25">
        <f t="shared" si="12"/>
        <v>-1709.458441</v>
      </c>
    </row>
    <row r="22">
      <c r="G22" s="25">
        <f t="shared" si="11"/>
        <v>854.7292203</v>
      </c>
      <c r="P22" s="25">
        <f t="shared" si="12"/>
        <v>-1892.72537</v>
      </c>
    </row>
    <row r="23">
      <c r="G23" s="25">
        <f t="shared" si="11"/>
        <v>946.3626849</v>
      </c>
      <c r="P23" s="25">
        <f t="shared" si="12"/>
        <v>-1961.628547</v>
      </c>
    </row>
    <row r="24">
      <c r="G24" s="25">
        <f t="shared" si="11"/>
        <v>980.8142733</v>
      </c>
      <c r="P24" s="25">
        <f t="shared" si="12"/>
        <v>1174.050123</v>
      </c>
    </row>
    <row r="25">
      <c r="G25" s="25">
        <f t="shared" si="11"/>
        <v>-587.0250615</v>
      </c>
      <c r="P25" s="25">
        <f t="shared" si="12"/>
        <v>-507.3182504</v>
      </c>
    </row>
    <row r="26">
      <c r="P26" s="25">
        <f t="shared" si="12"/>
        <v>-854.7292203</v>
      </c>
    </row>
    <row r="27">
      <c r="P27" s="25">
        <f t="shared" si="12"/>
        <v>-946.3626849</v>
      </c>
    </row>
    <row r="28">
      <c r="P28" s="25">
        <f t="shared" si="12"/>
        <v>-980.8142733</v>
      </c>
    </row>
    <row r="29">
      <c r="P29" s="25">
        <f t="shared" si="12"/>
        <v>587.0250615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>
        <v>1.0</v>
      </c>
      <c r="B1" s="4" t="s">
        <v>13</v>
      </c>
      <c r="C1" s="5">
        <v>441.3</v>
      </c>
      <c r="D1" s="5">
        <v>70.3</v>
      </c>
      <c r="E1" s="26">
        <v>70.2</v>
      </c>
    </row>
    <row r="2">
      <c r="A2" s="7">
        <v>1.0</v>
      </c>
      <c r="B2" s="8" t="s">
        <v>14</v>
      </c>
      <c r="C2" s="9">
        <v>467.8</v>
      </c>
      <c r="D2" s="9">
        <v>71.2</v>
      </c>
      <c r="E2" s="27">
        <v>71.2</v>
      </c>
    </row>
    <row r="3">
      <c r="A3" s="11">
        <v>1.0</v>
      </c>
      <c r="B3" s="12" t="s">
        <v>15</v>
      </c>
      <c r="C3" s="13">
        <v>480.0</v>
      </c>
      <c r="D3" s="13">
        <v>71.7</v>
      </c>
      <c r="E3" s="28">
        <v>71.7</v>
      </c>
    </row>
    <row r="4">
      <c r="A4" s="15">
        <v>1.0</v>
      </c>
      <c r="B4" s="16" t="s">
        <v>16</v>
      </c>
      <c r="C4" s="17">
        <v>508.6</v>
      </c>
      <c r="D4" s="17">
        <v>72.7</v>
      </c>
      <c r="E4" s="29">
        <v>72.7</v>
      </c>
    </row>
    <row r="5">
      <c r="A5" s="19">
        <v>1.0</v>
      </c>
      <c r="B5" s="20" t="s">
        <v>17</v>
      </c>
      <c r="C5" s="21">
        <v>643.8</v>
      </c>
      <c r="D5" s="21">
        <v>77.8</v>
      </c>
      <c r="E5" s="30">
        <v>77.8</v>
      </c>
    </row>
    <row r="6">
      <c r="A6" s="3">
        <v>2.0</v>
      </c>
      <c r="B6" s="4" t="s">
        <v>13</v>
      </c>
      <c r="C6" s="5">
        <v>441.3</v>
      </c>
      <c r="D6" s="5">
        <v>87.3</v>
      </c>
      <c r="E6" s="26">
        <v>87.3</v>
      </c>
    </row>
    <row r="7">
      <c r="A7" s="7">
        <v>2.0</v>
      </c>
      <c r="B7" s="8" t="s">
        <v>14</v>
      </c>
      <c r="C7" s="9">
        <v>467.8</v>
      </c>
      <c r="D7" s="9">
        <v>89.5</v>
      </c>
      <c r="E7" s="27">
        <v>89.5</v>
      </c>
    </row>
    <row r="8">
      <c r="A8" s="11">
        <v>2.0</v>
      </c>
      <c r="B8" s="12" t="s">
        <v>15</v>
      </c>
      <c r="C8" s="13">
        <v>480.0</v>
      </c>
      <c r="D8" s="13">
        <v>90.6</v>
      </c>
      <c r="E8" s="28">
        <v>90.6</v>
      </c>
    </row>
    <row r="9">
      <c r="A9" s="15">
        <v>2.0</v>
      </c>
      <c r="B9" s="16" t="s">
        <v>16</v>
      </c>
      <c r="C9" s="17">
        <v>508.6</v>
      </c>
      <c r="D9" s="17">
        <v>93.0</v>
      </c>
      <c r="E9" s="29">
        <v>93.0</v>
      </c>
    </row>
    <row r="10">
      <c r="A10" s="19">
        <v>2.0</v>
      </c>
      <c r="B10" s="20" t="s">
        <v>17</v>
      </c>
      <c r="C10" s="21">
        <v>643.8</v>
      </c>
      <c r="D10" s="21">
        <v>106.6</v>
      </c>
      <c r="E10" s="30">
        <v>106.7</v>
      </c>
    </row>
    <row r="11">
      <c r="A11" s="3">
        <v>-1.0</v>
      </c>
      <c r="B11" s="4" t="s">
        <v>13</v>
      </c>
      <c r="C11" s="5">
        <v>441.3</v>
      </c>
      <c r="D11" s="5">
        <v>39.1</v>
      </c>
      <c r="E11" s="31">
        <v>39.3</v>
      </c>
    </row>
    <row r="12">
      <c r="A12" s="7">
        <v>-1.0</v>
      </c>
      <c r="B12" s="8" t="s">
        <v>14</v>
      </c>
      <c r="C12" s="9">
        <v>467.8</v>
      </c>
      <c r="D12" s="9">
        <v>38.2</v>
      </c>
      <c r="E12" s="32">
        <v>38.3</v>
      </c>
    </row>
    <row r="13">
      <c r="A13" s="11">
        <v>-1.0</v>
      </c>
      <c r="B13" s="12" t="s">
        <v>15</v>
      </c>
      <c r="C13" s="13">
        <v>480.0</v>
      </c>
      <c r="D13" s="13">
        <v>37.7</v>
      </c>
      <c r="E13" s="14">
        <v>37.8</v>
      </c>
    </row>
    <row r="14">
      <c r="A14" s="15">
        <v>-1.0</v>
      </c>
      <c r="B14" s="16" t="s">
        <v>16</v>
      </c>
      <c r="C14" s="17">
        <v>508.6</v>
      </c>
      <c r="D14" s="17">
        <v>36.7</v>
      </c>
      <c r="E14" s="18">
        <v>36.8</v>
      </c>
    </row>
    <row r="15">
      <c r="A15" s="19">
        <v>-1.0</v>
      </c>
      <c r="B15" s="20" t="s">
        <v>17</v>
      </c>
      <c r="C15" s="21">
        <v>643.8</v>
      </c>
      <c r="D15" s="21">
        <v>31.8</v>
      </c>
      <c r="E15" s="22">
        <v>31.8</v>
      </c>
    </row>
    <row r="16">
      <c r="A16" s="3">
        <v>-2.0</v>
      </c>
      <c r="B16" s="4" t="s">
        <v>13</v>
      </c>
      <c r="C16" s="5">
        <v>441.3</v>
      </c>
      <c r="D16" s="5">
        <v>22.5</v>
      </c>
      <c r="E16" s="6">
        <v>22.5</v>
      </c>
    </row>
    <row r="17">
      <c r="A17" s="7">
        <v>-2.0</v>
      </c>
      <c r="B17" s="8" t="s">
        <v>14</v>
      </c>
      <c r="C17" s="9">
        <v>467.8</v>
      </c>
      <c r="D17" s="9">
        <v>20.4</v>
      </c>
      <c r="E17" s="10">
        <v>20.5</v>
      </c>
    </row>
    <row r="18">
      <c r="A18" s="11">
        <v>-2.0</v>
      </c>
      <c r="B18" s="12" t="s">
        <v>15</v>
      </c>
      <c r="C18" s="13">
        <v>480.0</v>
      </c>
      <c r="D18" s="13">
        <v>19.3</v>
      </c>
      <c r="E18" s="13">
        <v>19.6</v>
      </c>
    </row>
    <row r="19">
      <c r="A19" s="15">
        <v>-2.0</v>
      </c>
      <c r="B19" s="16" t="s">
        <v>16</v>
      </c>
      <c r="C19" s="17">
        <v>508.6</v>
      </c>
      <c r="D19" s="17">
        <v>16.9</v>
      </c>
      <c r="E19" s="17">
        <v>16.1</v>
      </c>
    </row>
    <row r="20">
      <c r="A20" s="19">
        <v>-2.0</v>
      </c>
      <c r="B20" s="20" t="s">
        <v>17</v>
      </c>
      <c r="C20" s="21">
        <v>643.8</v>
      </c>
      <c r="D20" s="21">
        <v>3.9</v>
      </c>
      <c r="E20" s="21">
        <v>3.9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.88"/>
    <col customWidth="1" min="3" max="3" width="15.0"/>
    <col customWidth="1" min="4" max="4" width="12.25"/>
    <col customWidth="1" min="6" max="6" width="12.0"/>
    <col customWidth="1" min="8" max="9" width="15.0"/>
    <col customWidth="1" min="10" max="10" width="19.75"/>
  </cols>
  <sheetData>
    <row r="1">
      <c r="A1" s="1" t="s">
        <v>20</v>
      </c>
      <c r="B1" s="1">
        <v>54.7</v>
      </c>
      <c r="C1" s="1">
        <v>54.7</v>
      </c>
    </row>
    <row r="2">
      <c r="A2" s="1" t="s">
        <v>21</v>
      </c>
      <c r="B2" s="1" t="s">
        <v>22</v>
      </c>
      <c r="M2" s="1" t="s">
        <v>23</v>
      </c>
      <c r="N2" s="1" t="s">
        <v>24</v>
      </c>
    </row>
    <row r="3">
      <c r="B3" s="23" t="s">
        <v>2</v>
      </c>
      <c r="C3" s="33" t="s">
        <v>3</v>
      </c>
      <c r="D3" s="2" t="s">
        <v>25</v>
      </c>
      <c r="E3" s="34" t="s">
        <v>6</v>
      </c>
      <c r="F3" s="35" t="s">
        <v>7</v>
      </c>
      <c r="G3" s="35" t="s">
        <v>26</v>
      </c>
      <c r="H3" s="35" t="s">
        <v>27</v>
      </c>
      <c r="I3" s="35" t="s">
        <v>10</v>
      </c>
      <c r="J3" s="35" t="s">
        <v>28</v>
      </c>
      <c r="K3" s="35" t="s">
        <v>29</v>
      </c>
      <c r="M3" s="23" t="s">
        <v>2</v>
      </c>
      <c r="N3" s="33" t="s">
        <v>3</v>
      </c>
      <c r="O3" s="2" t="s">
        <v>30</v>
      </c>
      <c r="P3" s="34" t="s">
        <v>6</v>
      </c>
      <c r="Q3" s="34" t="s">
        <v>7</v>
      </c>
      <c r="R3" s="34" t="s">
        <v>26</v>
      </c>
      <c r="S3" s="34" t="s">
        <v>27</v>
      </c>
      <c r="T3" s="34" t="s">
        <v>10</v>
      </c>
      <c r="U3" s="34" t="s">
        <v>28</v>
      </c>
      <c r="V3" s="34" t="s">
        <v>29</v>
      </c>
    </row>
    <row r="4">
      <c r="B4" s="36">
        <v>1.0</v>
      </c>
      <c r="C4" s="37" t="s">
        <v>31</v>
      </c>
      <c r="D4" s="38">
        <v>70.2</v>
      </c>
      <c r="E4" s="38">
        <v>70.1</v>
      </c>
      <c r="F4" s="39">
        <v>54.7</v>
      </c>
      <c r="G4" s="39">
        <f t="shared" ref="G4:G22" si="1">MOD(D4-F4,360)</f>
        <v>15.5</v>
      </c>
      <c r="H4" s="39">
        <f t="shared" ref="H4:H22" si="2">MOD(E4-F4,360)</f>
        <v>15.4</v>
      </c>
      <c r="I4" s="39">
        <f t="shared" ref="I4:I30" si="3">AVERAGE(G4:H4)</f>
        <v>15.45</v>
      </c>
      <c r="J4" s="39">
        <v>600.0</v>
      </c>
      <c r="K4" s="40">
        <f t="shared" ref="K4:K30" si="4">SIN(I4*PI()/180)/(J4*B4*1000) * 10^9</f>
        <v>443.9955804</v>
      </c>
      <c r="M4" s="36">
        <v>-1.0</v>
      </c>
      <c r="N4" s="37" t="s">
        <v>31</v>
      </c>
      <c r="O4" s="38">
        <v>39.3</v>
      </c>
      <c r="P4" s="38">
        <v>39.4</v>
      </c>
      <c r="Q4" s="38">
        <v>54.7</v>
      </c>
      <c r="R4" s="38">
        <f t="shared" ref="R4:R20" si="5">MOD(O4-Q4,360)-360</f>
        <v>-15.4</v>
      </c>
      <c r="S4" s="38">
        <f t="shared" ref="S4:S20" si="6">MOD(P4-Q4,360)-360</f>
        <v>-15.3</v>
      </c>
      <c r="T4" s="38">
        <f t="shared" ref="T4:T20" si="7">AVERAGE(R4:S4)</f>
        <v>-15.35</v>
      </c>
      <c r="U4" s="38">
        <v>600.0</v>
      </c>
      <c r="V4" s="41">
        <f t="shared" ref="V4:V20" si="8">SIN(T4*PI()/180)/(U4*M4*1000) * 10^9</f>
        <v>441.1911409</v>
      </c>
      <c r="X4" s="42">
        <f>AVERAGE(V4,K4,K13,V13)</f>
        <v>442.5576909</v>
      </c>
      <c r="Y4" s="1">
        <v>438.0</v>
      </c>
    </row>
    <row r="5">
      <c r="B5" s="43">
        <v>1.0</v>
      </c>
      <c r="C5" s="44" t="s">
        <v>32</v>
      </c>
      <c r="D5" s="45">
        <v>70.5</v>
      </c>
      <c r="E5" s="45">
        <v>70.5</v>
      </c>
      <c r="F5" s="46">
        <v>54.7</v>
      </c>
      <c r="G5" s="46">
        <f t="shared" si="1"/>
        <v>15.8</v>
      </c>
      <c r="H5" s="46">
        <f t="shared" si="2"/>
        <v>15.8</v>
      </c>
      <c r="I5" s="46">
        <f t="shared" si="3"/>
        <v>15.8</v>
      </c>
      <c r="J5" s="46">
        <v>600.0</v>
      </c>
      <c r="K5" s="47">
        <f t="shared" si="4"/>
        <v>453.8004117</v>
      </c>
      <c r="M5" s="43">
        <v>-1.0</v>
      </c>
      <c r="N5" s="44" t="s">
        <v>32</v>
      </c>
      <c r="O5" s="45">
        <v>39.1</v>
      </c>
      <c r="P5" s="45">
        <v>39.1</v>
      </c>
      <c r="Q5" s="45">
        <v>54.7</v>
      </c>
      <c r="R5" s="45">
        <f t="shared" si="5"/>
        <v>-15.6</v>
      </c>
      <c r="S5" s="45">
        <f t="shared" si="6"/>
        <v>-15.6</v>
      </c>
      <c r="T5" s="45">
        <f t="shared" si="7"/>
        <v>-15.6</v>
      </c>
      <c r="U5" s="45">
        <v>600.0</v>
      </c>
      <c r="V5" s="48">
        <f t="shared" si="8"/>
        <v>448.199701</v>
      </c>
      <c r="Y5" s="49">
        <v>447.1479</v>
      </c>
    </row>
    <row r="6">
      <c r="B6" s="50">
        <v>1.0</v>
      </c>
      <c r="C6" s="51" t="s">
        <v>33</v>
      </c>
      <c r="D6" s="52">
        <v>71.4</v>
      </c>
      <c r="E6" s="52">
        <v>71.4</v>
      </c>
      <c r="F6" s="53">
        <v>54.7</v>
      </c>
      <c r="G6" s="53">
        <f t="shared" si="1"/>
        <v>16.7</v>
      </c>
      <c r="H6" s="53">
        <f t="shared" si="2"/>
        <v>16.7</v>
      </c>
      <c r="I6" s="53">
        <f t="shared" si="3"/>
        <v>16.7</v>
      </c>
      <c r="J6" s="53">
        <v>600.0</v>
      </c>
      <c r="K6" s="54">
        <f t="shared" si="4"/>
        <v>478.9341997</v>
      </c>
      <c r="M6" s="50">
        <v>-1.0</v>
      </c>
      <c r="N6" s="51" t="s">
        <v>33</v>
      </c>
      <c r="O6" s="52">
        <v>38.2</v>
      </c>
      <c r="P6" s="52">
        <v>38.2</v>
      </c>
      <c r="Q6" s="52">
        <v>54.7</v>
      </c>
      <c r="R6" s="52">
        <f t="shared" si="5"/>
        <v>-16.5</v>
      </c>
      <c r="S6" s="52">
        <f t="shared" si="6"/>
        <v>-16.5</v>
      </c>
      <c r="T6" s="52">
        <f t="shared" si="7"/>
        <v>-16.5</v>
      </c>
      <c r="U6" s="52">
        <v>600.0</v>
      </c>
      <c r="V6" s="55">
        <f t="shared" si="8"/>
        <v>473.3589078</v>
      </c>
    </row>
    <row r="7">
      <c r="B7" s="56">
        <v>1.0</v>
      </c>
      <c r="C7" s="57" t="s">
        <v>34</v>
      </c>
      <c r="D7" s="58">
        <v>72.0</v>
      </c>
      <c r="E7" s="58">
        <v>72.2</v>
      </c>
      <c r="F7" s="59">
        <v>54.7</v>
      </c>
      <c r="G7" s="59">
        <f t="shared" si="1"/>
        <v>17.3</v>
      </c>
      <c r="H7" s="59">
        <f t="shared" si="2"/>
        <v>17.5</v>
      </c>
      <c r="I7" s="59">
        <f t="shared" si="3"/>
        <v>17.4</v>
      </c>
      <c r="J7" s="59">
        <v>600.0</v>
      </c>
      <c r="K7" s="60">
        <f t="shared" si="4"/>
        <v>498.4013204</v>
      </c>
      <c r="M7" s="56">
        <v>-1.0</v>
      </c>
      <c r="N7" s="57" t="s">
        <v>34</v>
      </c>
      <c r="O7" s="58">
        <v>37.4</v>
      </c>
      <c r="P7" s="58">
        <v>37.4</v>
      </c>
      <c r="Q7" s="58">
        <v>54.7</v>
      </c>
      <c r="R7" s="58">
        <f t="shared" si="5"/>
        <v>-17.3</v>
      </c>
      <c r="S7" s="58">
        <f t="shared" si="6"/>
        <v>-17.3</v>
      </c>
      <c r="T7" s="58">
        <f t="shared" si="7"/>
        <v>-17.3</v>
      </c>
      <c r="U7" s="58">
        <v>600.0</v>
      </c>
      <c r="V7" s="61">
        <f t="shared" si="8"/>
        <v>495.6247901</v>
      </c>
    </row>
    <row r="8">
      <c r="B8" s="62">
        <v>1.0</v>
      </c>
      <c r="C8" s="63" t="s">
        <v>35</v>
      </c>
      <c r="D8" s="64">
        <v>72.5</v>
      </c>
      <c r="E8" s="64">
        <v>72.4</v>
      </c>
      <c r="F8" s="65">
        <v>54.7</v>
      </c>
      <c r="G8" s="65">
        <f t="shared" si="1"/>
        <v>17.8</v>
      </c>
      <c r="H8" s="65">
        <f t="shared" si="2"/>
        <v>17.7</v>
      </c>
      <c r="I8" s="65">
        <f t="shared" si="3"/>
        <v>17.75</v>
      </c>
      <c r="J8" s="65">
        <v>600.0</v>
      </c>
      <c r="K8" s="66">
        <f t="shared" si="4"/>
        <v>508.107165</v>
      </c>
      <c r="M8" s="62">
        <v>-1.0</v>
      </c>
      <c r="N8" s="63" t="s">
        <v>35</v>
      </c>
      <c r="O8" s="64">
        <v>37.1</v>
      </c>
      <c r="P8" s="64">
        <v>37.1</v>
      </c>
      <c r="Q8" s="64">
        <v>54.7</v>
      </c>
      <c r="R8" s="64">
        <f t="shared" si="5"/>
        <v>-17.6</v>
      </c>
      <c r="S8" s="64">
        <f t="shared" si="6"/>
        <v>-17.6</v>
      </c>
      <c r="T8" s="64">
        <f t="shared" si="7"/>
        <v>-17.6</v>
      </c>
      <c r="U8" s="64">
        <v>600.0</v>
      </c>
      <c r="V8" s="67">
        <f t="shared" si="8"/>
        <v>503.9498179</v>
      </c>
    </row>
    <row r="9">
      <c r="B9" s="68">
        <v>1.0</v>
      </c>
      <c r="C9" s="69" t="s">
        <v>36</v>
      </c>
      <c r="D9" s="70" t="s">
        <v>37</v>
      </c>
      <c r="E9" s="70"/>
      <c r="F9" s="71">
        <v>54.7</v>
      </c>
      <c r="G9" s="71" t="str">
        <f t="shared" si="1"/>
        <v>#VALUE!</v>
      </c>
      <c r="H9" s="71">
        <f t="shared" si="2"/>
        <v>305.3</v>
      </c>
      <c r="I9" s="72" t="str">
        <f t="shared" si="3"/>
        <v>#VALUE!</v>
      </c>
      <c r="J9" s="71">
        <v>600.0</v>
      </c>
      <c r="K9" s="73" t="str">
        <f t="shared" si="4"/>
        <v>#VALUE!</v>
      </c>
      <c r="M9" s="68">
        <v>-1.0</v>
      </c>
      <c r="N9" s="69" t="s">
        <v>36</v>
      </c>
      <c r="O9" s="70" t="s">
        <v>38</v>
      </c>
      <c r="P9" s="70" t="s">
        <v>38</v>
      </c>
      <c r="Q9" s="70">
        <v>54.7</v>
      </c>
      <c r="R9" s="70" t="str">
        <f t="shared" si="5"/>
        <v>#VALUE!</v>
      </c>
      <c r="S9" s="70" t="str">
        <f t="shared" si="6"/>
        <v>#VALUE!</v>
      </c>
      <c r="T9" s="70" t="str">
        <f t="shared" si="7"/>
        <v>#VALUE!</v>
      </c>
      <c r="U9" s="70">
        <v>600.0</v>
      </c>
      <c r="V9" s="74" t="str">
        <f t="shared" si="8"/>
        <v>#VALUE!</v>
      </c>
      <c r="Z9" s="75"/>
      <c r="AA9" s="75"/>
      <c r="AB9" s="75"/>
      <c r="AC9" s="75"/>
      <c r="AD9" s="75"/>
      <c r="AE9" s="75"/>
      <c r="AF9" s="75"/>
    </row>
    <row r="10">
      <c r="B10" s="76">
        <v>1.0</v>
      </c>
      <c r="C10" s="77" t="s">
        <v>39</v>
      </c>
      <c r="D10" s="78">
        <v>75.7</v>
      </c>
      <c r="E10" s="78">
        <v>75.7</v>
      </c>
      <c r="F10" s="79">
        <v>54.7</v>
      </c>
      <c r="G10" s="79">
        <f t="shared" si="1"/>
        <v>21</v>
      </c>
      <c r="H10" s="79">
        <f t="shared" si="2"/>
        <v>21</v>
      </c>
      <c r="I10" s="79">
        <f t="shared" si="3"/>
        <v>21</v>
      </c>
      <c r="J10" s="79">
        <v>600.0</v>
      </c>
      <c r="K10" s="80">
        <f t="shared" si="4"/>
        <v>597.2799159</v>
      </c>
      <c r="M10" s="76">
        <v>-1.0</v>
      </c>
      <c r="N10" s="77" t="s">
        <v>39</v>
      </c>
      <c r="O10" s="78">
        <v>33.9</v>
      </c>
      <c r="P10" s="78">
        <v>33.9</v>
      </c>
      <c r="Q10" s="78">
        <v>54.7</v>
      </c>
      <c r="R10" s="78">
        <f t="shared" si="5"/>
        <v>-20.8</v>
      </c>
      <c r="S10" s="78">
        <f t="shared" si="6"/>
        <v>-20.8</v>
      </c>
      <c r="T10" s="78">
        <f t="shared" si="7"/>
        <v>-20.8</v>
      </c>
      <c r="U10" s="78">
        <v>600.0</v>
      </c>
      <c r="V10" s="81">
        <f t="shared" si="8"/>
        <v>591.8449373</v>
      </c>
      <c r="Y10" s="82"/>
      <c r="Z10" s="82"/>
      <c r="AA10" s="82"/>
      <c r="AB10" s="82"/>
      <c r="AC10" s="82"/>
      <c r="AD10" s="82"/>
      <c r="AE10" s="82"/>
      <c r="AF10" s="82"/>
    </row>
    <row r="11">
      <c r="B11" s="83">
        <v>1.0</v>
      </c>
      <c r="C11" s="84" t="s">
        <v>17</v>
      </c>
      <c r="D11" s="85">
        <v>78.7</v>
      </c>
      <c r="E11" s="85">
        <v>78.7</v>
      </c>
      <c r="F11" s="86">
        <v>54.7</v>
      </c>
      <c r="G11" s="86">
        <f t="shared" si="1"/>
        <v>24</v>
      </c>
      <c r="H11" s="86">
        <f t="shared" si="2"/>
        <v>24</v>
      </c>
      <c r="I11" s="86">
        <f t="shared" si="3"/>
        <v>24</v>
      </c>
      <c r="J11" s="86">
        <v>600.0</v>
      </c>
      <c r="K11" s="87">
        <f t="shared" si="4"/>
        <v>677.8944051</v>
      </c>
      <c r="M11" s="83">
        <v>-1.0</v>
      </c>
      <c r="N11" s="84" t="s">
        <v>17</v>
      </c>
      <c r="O11" s="85">
        <v>31.0</v>
      </c>
      <c r="P11" s="85">
        <v>31.0</v>
      </c>
      <c r="Q11" s="85">
        <v>54.7</v>
      </c>
      <c r="R11" s="85">
        <f t="shared" si="5"/>
        <v>-23.7</v>
      </c>
      <c r="S11" s="85">
        <f t="shared" si="6"/>
        <v>-23.7</v>
      </c>
      <c r="T11" s="85">
        <f t="shared" si="7"/>
        <v>-23.7</v>
      </c>
      <c r="U11" s="85">
        <v>600.0</v>
      </c>
      <c r="V11" s="88">
        <f t="shared" si="8"/>
        <v>669.9129611</v>
      </c>
      <c r="Y11" s="75"/>
      <c r="Z11" s="82"/>
      <c r="AA11" s="82"/>
      <c r="AB11" s="82"/>
      <c r="AC11" s="82"/>
      <c r="AD11" s="82"/>
      <c r="AE11" s="82"/>
      <c r="AF11" s="82"/>
    </row>
    <row r="12">
      <c r="B12" s="89">
        <v>1.0</v>
      </c>
      <c r="C12" s="90" t="s">
        <v>40</v>
      </c>
      <c r="D12" s="91">
        <v>80.1</v>
      </c>
      <c r="E12" s="91">
        <v>80.2</v>
      </c>
      <c r="F12" s="92">
        <v>54.7</v>
      </c>
      <c r="G12" s="92">
        <f t="shared" si="1"/>
        <v>25.4</v>
      </c>
      <c r="H12" s="92">
        <f t="shared" si="2"/>
        <v>25.5</v>
      </c>
      <c r="I12" s="92">
        <f t="shared" si="3"/>
        <v>25.45</v>
      </c>
      <c r="J12" s="92">
        <v>600.0</v>
      </c>
      <c r="K12" s="93">
        <f t="shared" si="4"/>
        <v>716.2054646</v>
      </c>
      <c r="M12" s="89">
        <v>-1.0</v>
      </c>
      <c r="N12" s="90" t="s">
        <v>40</v>
      </c>
      <c r="O12" s="91">
        <v>29.5</v>
      </c>
      <c r="P12" s="91">
        <v>29.6</v>
      </c>
      <c r="Q12" s="91">
        <v>54.7</v>
      </c>
      <c r="R12" s="91">
        <f t="shared" si="5"/>
        <v>-25.2</v>
      </c>
      <c r="S12" s="91">
        <f t="shared" si="6"/>
        <v>-25.1</v>
      </c>
      <c r="T12" s="91">
        <f t="shared" si="7"/>
        <v>-25.15</v>
      </c>
      <c r="U12" s="91">
        <v>600.0</v>
      </c>
      <c r="V12" s="94">
        <f t="shared" si="8"/>
        <v>708.315865</v>
      </c>
      <c r="Y12" s="75"/>
      <c r="Z12" s="82"/>
      <c r="AA12" s="82"/>
      <c r="AB12" s="82"/>
      <c r="AC12" s="82"/>
      <c r="AD12" s="82"/>
      <c r="AE12" s="82"/>
      <c r="AF12" s="82"/>
    </row>
    <row r="13">
      <c r="B13" s="36">
        <v>2.0</v>
      </c>
      <c r="C13" s="37" t="s">
        <v>31</v>
      </c>
      <c r="D13" s="38">
        <v>87.0</v>
      </c>
      <c r="E13" s="38">
        <v>86.9</v>
      </c>
      <c r="F13" s="39">
        <v>54.7</v>
      </c>
      <c r="G13" s="39">
        <f t="shared" si="1"/>
        <v>32.3</v>
      </c>
      <c r="H13" s="39">
        <f t="shared" si="2"/>
        <v>32.2</v>
      </c>
      <c r="I13" s="39">
        <f t="shared" si="3"/>
        <v>32.25</v>
      </c>
      <c r="J13" s="39">
        <v>600.0</v>
      </c>
      <c r="K13" s="40">
        <f t="shared" si="4"/>
        <v>444.6787633</v>
      </c>
      <c r="M13" s="36">
        <v>-2.0</v>
      </c>
      <c r="N13" s="37" t="s">
        <v>31</v>
      </c>
      <c r="O13" s="38">
        <v>22.8</v>
      </c>
      <c r="P13" s="38">
        <v>22.8</v>
      </c>
      <c r="Q13" s="38">
        <v>54.7</v>
      </c>
      <c r="R13" s="38">
        <f t="shared" si="5"/>
        <v>-31.9</v>
      </c>
      <c r="S13" s="38">
        <f t="shared" si="6"/>
        <v>-31.9</v>
      </c>
      <c r="T13" s="38">
        <f t="shared" si="7"/>
        <v>-31.9</v>
      </c>
      <c r="U13" s="38">
        <v>600.0</v>
      </c>
      <c r="V13" s="41">
        <f t="shared" si="8"/>
        <v>440.3652789</v>
      </c>
      <c r="Y13" s="75"/>
      <c r="Z13" s="82"/>
      <c r="AA13" s="82"/>
      <c r="AB13" s="82"/>
      <c r="AC13" s="82"/>
      <c r="AD13" s="82"/>
      <c r="AE13" s="82"/>
      <c r="AF13" s="82"/>
    </row>
    <row r="14">
      <c r="B14" s="43">
        <v>2.0</v>
      </c>
      <c r="C14" s="44" t="s">
        <v>32</v>
      </c>
      <c r="D14" s="45">
        <v>87.7</v>
      </c>
      <c r="E14" s="45">
        <v>87.8</v>
      </c>
      <c r="F14" s="46">
        <v>54.7</v>
      </c>
      <c r="G14" s="46">
        <f t="shared" si="1"/>
        <v>33</v>
      </c>
      <c r="H14" s="46">
        <f t="shared" si="2"/>
        <v>33.1</v>
      </c>
      <c r="I14" s="46">
        <f t="shared" si="3"/>
        <v>33.05</v>
      </c>
      <c r="J14" s="46">
        <v>600.0</v>
      </c>
      <c r="K14" s="47">
        <f t="shared" si="4"/>
        <v>454.4755881</v>
      </c>
      <c r="M14" s="43">
        <v>-2.0</v>
      </c>
      <c r="N14" s="44" t="s">
        <v>32</v>
      </c>
      <c r="O14" s="45">
        <v>22.1</v>
      </c>
      <c r="P14" s="45">
        <v>22.0</v>
      </c>
      <c r="Q14" s="45">
        <v>54.7</v>
      </c>
      <c r="R14" s="45">
        <f t="shared" si="5"/>
        <v>-32.6</v>
      </c>
      <c r="S14" s="45">
        <f t="shared" si="6"/>
        <v>-32.7</v>
      </c>
      <c r="T14" s="45">
        <f t="shared" si="7"/>
        <v>-32.65</v>
      </c>
      <c r="U14" s="45">
        <v>600.0</v>
      </c>
      <c r="V14" s="48">
        <f t="shared" si="8"/>
        <v>449.5881318</v>
      </c>
      <c r="Y14" s="75"/>
      <c r="Z14" s="82"/>
      <c r="AA14" s="82"/>
      <c r="AB14" s="82"/>
      <c r="AC14" s="82"/>
      <c r="AD14" s="82"/>
      <c r="AE14" s="82"/>
      <c r="AF14" s="82"/>
    </row>
    <row r="15">
      <c r="B15" s="50">
        <v>2.0</v>
      </c>
      <c r="C15" s="51" t="s">
        <v>33</v>
      </c>
      <c r="D15" s="52">
        <v>89.8</v>
      </c>
      <c r="E15" s="52">
        <v>89.8</v>
      </c>
      <c r="F15" s="53">
        <v>54.7</v>
      </c>
      <c r="G15" s="53">
        <f t="shared" si="1"/>
        <v>35.1</v>
      </c>
      <c r="H15" s="53">
        <f t="shared" si="2"/>
        <v>35.1</v>
      </c>
      <c r="I15" s="53">
        <f t="shared" si="3"/>
        <v>35.1</v>
      </c>
      <c r="J15" s="53">
        <v>600.0</v>
      </c>
      <c r="K15" s="54">
        <f t="shared" si="4"/>
        <v>479.1710434</v>
      </c>
      <c r="M15" s="50">
        <v>-2.0</v>
      </c>
      <c r="N15" s="51" t="s">
        <v>33</v>
      </c>
      <c r="O15" s="52">
        <v>20.2</v>
      </c>
      <c r="P15" s="52">
        <v>20.0</v>
      </c>
      <c r="Q15" s="52">
        <v>54.7</v>
      </c>
      <c r="R15" s="52">
        <f t="shared" si="5"/>
        <v>-34.5</v>
      </c>
      <c r="S15" s="52">
        <f t="shared" si="6"/>
        <v>-34.7</v>
      </c>
      <c r="T15" s="52">
        <f t="shared" si="7"/>
        <v>-34.6</v>
      </c>
      <c r="U15" s="52">
        <v>600.0</v>
      </c>
      <c r="V15" s="55">
        <f t="shared" si="8"/>
        <v>473.2031209</v>
      </c>
      <c r="Y15" s="75"/>
      <c r="Z15" s="82"/>
      <c r="AA15" s="82"/>
      <c r="AB15" s="82"/>
      <c r="AC15" s="82"/>
      <c r="AD15" s="82"/>
      <c r="AE15" s="82"/>
      <c r="AF15" s="82"/>
    </row>
    <row r="16">
      <c r="B16" s="56">
        <v>2.0</v>
      </c>
      <c r="C16" s="57" t="s">
        <v>34</v>
      </c>
      <c r="D16" s="58">
        <v>91.6</v>
      </c>
      <c r="E16" s="58">
        <v>91.5</v>
      </c>
      <c r="F16" s="59">
        <v>54.7</v>
      </c>
      <c r="G16" s="59">
        <f t="shared" si="1"/>
        <v>36.9</v>
      </c>
      <c r="H16" s="59">
        <f t="shared" si="2"/>
        <v>36.8</v>
      </c>
      <c r="I16" s="59">
        <f t="shared" si="3"/>
        <v>36.85</v>
      </c>
      <c r="J16" s="59">
        <v>600.0</v>
      </c>
      <c r="K16" s="60">
        <f t="shared" si="4"/>
        <v>499.7684502</v>
      </c>
      <c r="M16" s="56">
        <v>-2.0</v>
      </c>
      <c r="N16" s="57" t="s">
        <v>34</v>
      </c>
      <c r="O16" s="58">
        <v>18.4</v>
      </c>
      <c r="P16" s="58">
        <v>18.4</v>
      </c>
      <c r="Q16" s="58">
        <v>54.7</v>
      </c>
      <c r="R16" s="58">
        <f t="shared" si="5"/>
        <v>-36.3</v>
      </c>
      <c r="S16" s="58">
        <f t="shared" si="6"/>
        <v>-36.3</v>
      </c>
      <c r="T16" s="58">
        <f t="shared" si="7"/>
        <v>-36.3</v>
      </c>
      <c r="U16" s="58">
        <v>600.0</v>
      </c>
      <c r="V16" s="61">
        <f t="shared" si="8"/>
        <v>493.3443157</v>
      </c>
      <c r="Y16" s="75"/>
      <c r="Z16" s="82"/>
      <c r="AA16" s="82"/>
      <c r="AB16" s="82"/>
      <c r="AC16" s="82"/>
      <c r="AD16" s="82"/>
      <c r="AE16" s="82"/>
      <c r="AF16" s="82"/>
    </row>
    <row r="17">
      <c r="B17" s="62">
        <v>2.0</v>
      </c>
      <c r="C17" s="63" t="s">
        <v>35</v>
      </c>
      <c r="D17" s="64">
        <v>92.5</v>
      </c>
      <c r="E17" s="64">
        <v>92.5</v>
      </c>
      <c r="F17" s="65">
        <v>54.7</v>
      </c>
      <c r="G17" s="65">
        <f t="shared" si="1"/>
        <v>37.8</v>
      </c>
      <c r="H17" s="65">
        <f t="shared" si="2"/>
        <v>37.8</v>
      </c>
      <c r="I17" s="65">
        <f t="shared" si="3"/>
        <v>37.8</v>
      </c>
      <c r="J17" s="65">
        <v>600.0</v>
      </c>
      <c r="K17" s="66">
        <f t="shared" si="4"/>
        <v>510.755878</v>
      </c>
      <c r="M17" s="62">
        <v>-2.0</v>
      </c>
      <c r="N17" s="63" t="s">
        <v>35</v>
      </c>
      <c r="O17" s="64">
        <v>17.6</v>
      </c>
      <c r="P17" s="64">
        <v>17.5</v>
      </c>
      <c r="Q17" s="64">
        <v>54.7</v>
      </c>
      <c r="R17" s="64">
        <f t="shared" si="5"/>
        <v>-37.1</v>
      </c>
      <c r="S17" s="64">
        <f t="shared" si="6"/>
        <v>-37.2</v>
      </c>
      <c r="T17" s="64">
        <f t="shared" si="7"/>
        <v>-37.15</v>
      </c>
      <c r="U17" s="64">
        <v>600.0</v>
      </c>
      <c r="V17" s="67">
        <f t="shared" si="8"/>
        <v>503.253151</v>
      </c>
    </row>
    <row r="18">
      <c r="B18" s="68">
        <v>2.0</v>
      </c>
      <c r="C18" s="69" t="s">
        <v>36</v>
      </c>
      <c r="D18" s="70">
        <v>92.7</v>
      </c>
      <c r="E18" s="70">
        <v>92.8</v>
      </c>
      <c r="F18" s="71">
        <v>54.7</v>
      </c>
      <c r="G18" s="71">
        <f t="shared" si="1"/>
        <v>38</v>
      </c>
      <c r="H18" s="71">
        <f t="shared" si="2"/>
        <v>38.1</v>
      </c>
      <c r="I18" s="71">
        <f t="shared" si="3"/>
        <v>38.05</v>
      </c>
      <c r="J18" s="71">
        <v>600.0</v>
      </c>
      <c r="K18" s="95">
        <f t="shared" si="4"/>
        <v>513.6240916</v>
      </c>
      <c r="M18" s="68">
        <v>-2.0</v>
      </c>
      <c r="N18" s="69" t="s">
        <v>36</v>
      </c>
      <c r="O18" s="70">
        <v>17.3</v>
      </c>
      <c r="P18" s="70">
        <v>17.3</v>
      </c>
      <c r="Q18" s="70">
        <v>54.7</v>
      </c>
      <c r="R18" s="70">
        <f t="shared" si="5"/>
        <v>-37.4</v>
      </c>
      <c r="S18" s="70">
        <f t="shared" si="6"/>
        <v>-37.4</v>
      </c>
      <c r="T18" s="70">
        <f t="shared" si="7"/>
        <v>-37.4</v>
      </c>
      <c r="U18" s="70">
        <v>600.0</v>
      </c>
      <c r="V18" s="74">
        <f t="shared" si="8"/>
        <v>506.1465331</v>
      </c>
    </row>
    <row r="19">
      <c r="B19" s="76">
        <v>2.0</v>
      </c>
      <c r="C19" s="77" t="s">
        <v>39</v>
      </c>
      <c r="D19" s="78">
        <v>100.6</v>
      </c>
      <c r="E19" s="78">
        <v>100.6</v>
      </c>
      <c r="F19" s="79">
        <v>54.7</v>
      </c>
      <c r="G19" s="79">
        <f t="shared" si="1"/>
        <v>45.9</v>
      </c>
      <c r="H19" s="79">
        <f t="shared" si="2"/>
        <v>45.9</v>
      </c>
      <c r="I19" s="79">
        <f t="shared" si="3"/>
        <v>45.9</v>
      </c>
      <c r="J19" s="79">
        <v>600.0</v>
      </c>
      <c r="K19" s="80">
        <f t="shared" si="4"/>
        <v>598.4385815</v>
      </c>
      <c r="M19" s="76">
        <v>-2.0</v>
      </c>
      <c r="N19" s="77" t="s">
        <v>39</v>
      </c>
      <c r="O19" s="78">
        <v>9.8</v>
      </c>
      <c r="P19" s="78">
        <v>9.7</v>
      </c>
      <c r="Q19" s="78">
        <v>54.7</v>
      </c>
      <c r="R19" s="78">
        <f t="shared" si="5"/>
        <v>-44.9</v>
      </c>
      <c r="S19" s="78">
        <f t="shared" si="6"/>
        <v>-45</v>
      </c>
      <c r="T19" s="78">
        <f t="shared" si="7"/>
        <v>-44.95</v>
      </c>
      <c r="U19" s="78">
        <v>600.0</v>
      </c>
      <c r="V19" s="81">
        <f t="shared" si="8"/>
        <v>588.7412041</v>
      </c>
      <c r="Y19" s="75" t="s">
        <v>41</v>
      </c>
      <c r="Z19" s="82">
        <v>707.0</v>
      </c>
    </row>
    <row r="20">
      <c r="B20" s="83">
        <v>2.0</v>
      </c>
      <c r="C20" s="84" t="s">
        <v>17</v>
      </c>
      <c r="D20" s="85">
        <v>109.4</v>
      </c>
      <c r="E20" s="85">
        <v>109.6</v>
      </c>
      <c r="F20" s="86">
        <v>54.7</v>
      </c>
      <c r="G20" s="86">
        <f t="shared" si="1"/>
        <v>54.7</v>
      </c>
      <c r="H20" s="86">
        <f t="shared" si="2"/>
        <v>54.9</v>
      </c>
      <c r="I20" s="86">
        <f t="shared" si="3"/>
        <v>54.8</v>
      </c>
      <c r="J20" s="86">
        <v>600.0</v>
      </c>
      <c r="K20" s="87">
        <f t="shared" si="4"/>
        <v>680.9540819</v>
      </c>
      <c r="M20" s="83">
        <v>-2.0</v>
      </c>
      <c r="N20" s="84" t="s">
        <v>17</v>
      </c>
      <c r="O20" s="85">
        <v>1.4</v>
      </c>
      <c r="P20" s="85">
        <v>1.4</v>
      </c>
      <c r="Q20" s="85">
        <v>54.7</v>
      </c>
      <c r="R20" s="85">
        <f t="shared" si="5"/>
        <v>-53.3</v>
      </c>
      <c r="S20" s="85">
        <f t="shared" si="6"/>
        <v>-53.3</v>
      </c>
      <c r="T20" s="85">
        <f t="shared" si="7"/>
        <v>-53.3</v>
      </c>
      <c r="U20" s="85">
        <v>600.0</v>
      </c>
      <c r="V20" s="88">
        <f t="shared" si="8"/>
        <v>668.1463702</v>
      </c>
      <c r="Y20" s="75" t="s">
        <v>42</v>
      </c>
      <c r="Z20" s="82">
        <v>668.0</v>
      </c>
    </row>
    <row r="21">
      <c r="B21" s="89">
        <v>2.0</v>
      </c>
      <c r="C21" s="90" t="s">
        <v>40</v>
      </c>
      <c r="D21" s="91"/>
      <c r="E21" s="91"/>
      <c r="F21" s="92">
        <v>54.7</v>
      </c>
      <c r="G21" s="92">
        <f t="shared" si="1"/>
        <v>305.3</v>
      </c>
      <c r="H21" s="92">
        <f t="shared" si="2"/>
        <v>305.3</v>
      </c>
      <c r="I21" s="92">
        <f t="shared" si="3"/>
        <v>305.3</v>
      </c>
      <c r="J21" s="92">
        <v>600.0</v>
      </c>
      <c r="K21" s="93">
        <f t="shared" si="4"/>
        <v>-680.1146584</v>
      </c>
      <c r="M21" s="89"/>
      <c r="N21" s="90"/>
      <c r="O21" s="91"/>
      <c r="P21" s="91"/>
      <c r="Q21" s="91"/>
      <c r="R21" s="91"/>
      <c r="S21" s="91"/>
      <c r="T21" s="91"/>
      <c r="U21" s="91"/>
      <c r="V21" s="94"/>
      <c r="Y21" s="75" t="s">
        <v>43</v>
      </c>
      <c r="Z21" s="82">
        <v>588.0</v>
      </c>
    </row>
    <row r="22">
      <c r="B22" s="36">
        <v>3.0</v>
      </c>
      <c r="C22" s="37" t="s">
        <v>31</v>
      </c>
      <c r="D22" s="38">
        <v>109.8</v>
      </c>
      <c r="E22" s="38">
        <v>109.8</v>
      </c>
      <c r="F22" s="39">
        <v>54.7</v>
      </c>
      <c r="G22" s="39">
        <f t="shared" si="1"/>
        <v>55.1</v>
      </c>
      <c r="H22" s="39">
        <f t="shared" si="2"/>
        <v>55.1</v>
      </c>
      <c r="I22" s="39">
        <f t="shared" si="3"/>
        <v>55.1</v>
      </c>
      <c r="J22" s="39">
        <v>600.0</v>
      </c>
      <c r="K22" s="40">
        <f t="shared" si="4"/>
        <v>455.639931</v>
      </c>
      <c r="M22" s="36">
        <v>-3.0</v>
      </c>
      <c r="N22" s="96" t="s">
        <v>31</v>
      </c>
      <c r="O22" s="37"/>
      <c r="P22" s="38">
        <v>2.5</v>
      </c>
      <c r="Q22" s="38">
        <v>54.7</v>
      </c>
      <c r="R22" s="38"/>
      <c r="S22" s="38">
        <f t="shared" ref="S22:S27" si="9">MOD(P22-Q22,360)-360</f>
        <v>-52.2</v>
      </c>
      <c r="T22" s="38">
        <f t="shared" ref="T22:T27" si="10">AVERAGE(R22:S22)</f>
        <v>-52.2</v>
      </c>
      <c r="U22" s="38">
        <v>600.0</v>
      </c>
      <c r="V22" s="41">
        <f t="shared" ref="V22:V27" si="11">SIN(T22*PI()/180)/(U22*M22*1000) * 10^9</f>
        <v>438.9750069</v>
      </c>
      <c r="Y22" s="75" t="s">
        <v>44</v>
      </c>
      <c r="Z22" s="82">
        <v>502.0</v>
      </c>
    </row>
    <row r="23">
      <c r="B23" s="43">
        <v>3.0</v>
      </c>
      <c r="C23" s="44" t="s">
        <v>32</v>
      </c>
      <c r="D23" s="45"/>
      <c r="E23" s="45"/>
      <c r="F23" s="46">
        <v>54.7</v>
      </c>
      <c r="G23" s="46"/>
      <c r="H23" s="46"/>
      <c r="I23" s="46" t="str">
        <f t="shared" si="3"/>
        <v>#DIV/0!</v>
      </c>
      <c r="J23" s="46">
        <v>600.0</v>
      </c>
      <c r="K23" s="47" t="str">
        <f t="shared" si="4"/>
        <v>#DIV/0!</v>
      </c>
      <c r="M23" s="43">
        <v>-3.0</v>
      </c>
      <c r="N23" s="97" t="s">
        <v>32</v>
      </c>
      <c r="O23" s="44">
        <v>1.0</v>
      </c>
      <c r="P23" s="45">
        <v>1.1</v>
      </c>
      <c r="Q23" s="45">
        <v>54.7</v>
      </c>
      <c r="R23" s="45">
        <f>MOD(O23-Q23,360)-360</f>
        <v>-53.7</v>
      </c>
      <c r="S23" s="45">
        <f t="shared" si="9"/>
        <v>-53.6</v>
      </c>
      <c r="T23" s="45">
        <f t="shared" si="10"/>
        <v>-53.65</v>
      </c>
      <c r="U23" s="45">
        <v>600.0</v>
      </c>
      <c r="V23" s="48">
        <f t="shared" si="11"/>
        <v>447.450748</v>
      </c>
      <c r="Y23" s="75" t="s">
        <v>44</v>
      </c>
      <c r="Z23" s="82">
        <v>492.0</v>
      </c>
    </row>
    <row r="24">
      <c r="B24" s="50">
        <v>3.0</v>
      </c>
      <c r="C24" s="51" t="s">
        <v>33</v>
      </c>
      <c r="D24" s="52"/>
      <c r="E24" s="52">
        <v>114.8</v>
      </c>
      <c r="F24" s="53">
        <v>54.7</v>
      </c>
      <c r="G24" s="53"/>
      <c r="H24" s="53">
        <f>MOD(E24-F24,360)</f>
        <v>60.1</v>
      </c>
      <c r="I24" s="53">
        <f t="shared" si="3"/>
        <v>60.1</v>
      </c>
      <c r="J24" s="53">
        <v>600.0</v>
      </c>
      <c r="K24" s="54">
        <f t="shared" si="4"/>
        <v>481.609305</v>
      </c>
      <c r="M24" s="50">
        <v>-3.0</v>
      </c>
      <c r="N24" s="51" t="s">
        <v>33</v>
      </c>
      <c r="O24" s="52"/>
      <c r="P24" s="52">
        <v>356.7</v>
      </c>
      <c r="Q24" s="52">
        <v>54.7</v>
      </c>
      <c r="R24" s="52"/>
      <c r="S24" s="52">
        <f t="shared" si="9"/>
        <v>-58</v>
      </c>
      <c r="T24" s="52">
        <f t="shared" si="10"/>
        <v>-58</v>
      </c>
      <c r="U24" s="52">
        <v>600.0</v>
      </c>
      <c r="V24" s="55">
        <f t="shared" si="11"/>
        <v>471.1378312</v>
      </c>
      <c r="Y24" s="75" t="s">
        <v>44</v>
      </c>
      <c r="Z24" s="82">
        <v>470.0</v>
      </c>
    </row>
    <row r="25">
      <c r="B25" s="56">
        <v>3.0</v>
      </c>
      <c r="C25" s="57" t="s">
        <v>34</v>
      </c>
      <c r="D25" s="58"/>
      <c r="E25" s="58"/>
      <c r="F25" s="59">
        <v>54.7</v>
      </c>
      <c r="G25" s="59"/>
      <c r="H25" s="59"/>
      <c r="I25" s="59" t="str">
        <f t="shared" si="3"/>
        <v>#DIV/0!</v>
      </c>
      <c r="J25" s="59">
        <v>600.0</v>
      </c>
      <c r="K25" s="60" t="str">
        <f t="shared" si="4"/>
        <v>#DIV/0!</v>
      </c>
      <c r="M25" s="56">
        <v>-3.0</v>
      </c>
      <c r="N25" s="57" t="s">
        <v>34</v>
      </c>
      <c r="O25" s="58">
        <v>352.4</v>
      </c>
      <c r="P25" s="58">
        <v>352.5</v>
      </c>
      <c r="Q25" s="58">
        <v>54.7</v>
      </c>
      <c r="R25" s="58">
        <f t="shared" ref="R25:R27" si="12">MOD(O25-Q25,360)-360</f>
        <v>-62.3</v>
      </c>
      <c r="S25" s="58">
        <f t="shared" si="9"/>
        <v>-62.2</v>
      </c>
      <c r="T25" s="58">
        <f t="shared" si="10"/>
        <v>-62.25</v>
      </c>
      <c r="U25" s="58">
        <v>600.0</v>
      </c>
      <c r="V25" s="61">
        <f t="shared" si="11"/>
        <v>491.6597986</v>
      </c>
      <c r="Y25" s="75" t="s">
        <v>45</v>
      </c>
      <c r="Z25" s="82">
        <v>447.0</v>
      </c>
    </row>
    <row r="26">
      <c r="B26" s="62">
        <v>3.0</v>
      </c>
      <c r="C26" s="63" t="s">
        <v>35</v>
      </c>
      <c r="D26" s="64">
        <v>122.2</v>
      </c>
      <c r="E26" s="64">
        <v>121.9</v>
      </c>
      <c r="F26" s="65">
        <v>54.7</v>
      </c>
      <c r="G26" s="65">
        <f>MOD(D26-F26,360)</f>
        <v>67.5</v>
      </c>
      <c r="H26" s="65">
        <f>MOD(E26-F26,360)</f>
        <v>67.2</v>
      </c>
      <c r="I26" s="65">
        <f t="shared" si="3"/>
        <v>67.35</v>
      </c>
      <c r="J26" s="65">
        <v>600.0</v>
      </c>
      <c r="K26" s="66">
        <f t="shared" si="4"/>
        <v>512.7080582</v>
      </c>
      <c r="M26" s="62">
        <v>-3.0</v>
      </c>
      <c r="N26" s="63" t="s">
        <v>35</v>
      </c>
      <c r="O26" s="64">
        <v>350.3</v>
      </c>
      <c r="P26" s="64">
        <v>350.4</v>
      </c>
      <c r="Q26" s="64">
        <v>54.7</v>
      </c>
      <c r="R26" s="64">
        <f t="shared" si="12"/>
        <v>-64.4</v>
      </c>
      <c r="S26" s="64">
        <f t="shared" si="9"/>
        <v>-64.3</v>
      </c>
      <c r="T26" s="64">
        <f t="shared" si="10"/>
        <v>-64.35</v>
      </c>
      <c r="U26" s="64">
        <v>600.0</v>
      </c>
      <c r="V26" s="67">
        <f t="shared" si="11"/>
        <v>500.8083984</v>
      </c>
      <c r="Y26" s="75" t="s">
        <v>46</v>
      </c>
      <c r="Z26" s="82">
        <v>403.0</v>
      </c>
    </row>
    <row r="27">
      <c r="B27" s="68">
        <v>3.0</v>
      </c>
      <c r="C27" s="69" t="s">
        <v>36</v>
      </c>
      <c r="D27" s="70"/>
      <c r="E27" s="70"/>
      <c r="F27" s="71">
        <v>54.7</v>
      </c>
      <c r="G27" s="71"/>
      <c r="H27" s="71"/>
      <c r="I27" s="71" t="str">
        <f t="shared" si="3"/>
        <v>#DIV/0!</v>
      </c>
      <c r="J27" s="71">
        <v>600.0</v>
      </c>
      <c r="K27" s="95" t="str">
        <f t="shared" si="4"/>
        <v>#DIV/0!</v>
      </c>
      <c r="M27" s="68">
        <v>-3.0</v>
      </c>
      <c r="N27" s="69" t="s">
        <v>36</v>
      </c>
      <c r="O27" s="70">
        <v>349.6</v>
      </c>
      <c r="P27" s="70">
        <v>349.7</v>
      </c>
      <c r="Q27" s="70">
        <v>54.7</v>
      </c>
      <c r="R27" s="70">
        <f t="shared" si="12"/>
        <v>-65.1</v>
      </c>
      <c r="S27" s="70">
        <f t="shared" si="9"/>
        <v>-65</v>
      </c>
      <c r="T27" s="70">
        <f t="shared" si="10"/>
        <v>-65.05</v>
      </c>
      <c r="U27" s="70">
        <v>600.0</v>
      </c>
      <c r="V27" s="74">
        <f t="shared" si="11"/>
        <v>503.7090255</v>
      </c>
    </row>
    <row r="28">
      <c r="B28" s="76">
        <v>3.0</v>
      </c>
      <c r="C28" s="77" t="s">
        <v>39</v>
      </c>
      <c r="D28" s="78"/>
      <c r="E28" s="78"/>
      <c r="F28" s="79">
        <v>54.7</v>
      </c>
      <c r="G28" s="79"/>
      <c r="H28" s="79"/>
      <c r="I28" s="79" t="str">
        <f t="shared" si="3"/>
        <v>#DIV/0!</v>
      </c>
      <c r="J28" s="79">
        <v>600.0</v>
      </c>
      <c r="K28" s="80" t="str">
        <f t="shared" si="4"/>
        <v>#DIV/0!</v>
      </c>
      <c r="M28" s="76"/>
      <c r="N28" s="77"/>
      <c r="O28" s="78"/>
      <c r="P28" s="78"/>
      <c r="Q28" s="78"/>
      <c r="R28" s="78"/>
      <c r="S28" s="78"/>
      <c r="T28" s="78"/>
      <c r="U28" s="78"/>
      <c r="V28" s="81"/>
    </row>
    <row r="29">
      <c r="B29" s="83">
        <v>3.0</v>
      </c>
      <c r="C29" s="84" t="s">
        <v>17</v>
      </c>
      <c r="D29" s="85"/>
      <c r="E29" s="85"/>
      <c r="F29" s="86">
        <v>54.7</v>
      </c>
      <c r="G29" s="86"/>
      <c r="H29" s="86"/>
      <c r="I29" s="86" t="str">
        <f t="shared" si="3"/>
        <v>#DIV/0!</v>
      </c>
      <c r="J29" s="86">
        <v>600.0</v>
      </c>
      <c r="K29" s="87" t="str">
        <f t="shared" si="4"/>
        <v>#DIV/0!</v>
      </c>
      <c r="M29" s="83"/>
      <c r="N29" s="84"/>
      <c r="O29" s="85"/>
      <c r="P29" s="85"/>
      <c r="Q29" s="85"/>
      <c r="R29" s="85"/>
      <c r="S29" s="85"/>
      <c r="T29" s="85"/>
      <c r="U29" s="85"/>
      <c r="V29" s="88"/>
    </row>
    <row r="30">
      <c r="B30" s="89">
        <v>3.0</v>
      </c>
      <c r="C30" s="90" t="s">
        <v>40</v>
      </c>
      <c r="D30" s="91"/>
      <c r="E30" s="91"/>
      <c r="F30" s="92">
        <v>54.7</v>
      </c>
      <c r="G30" s="92"/>
      <c r="H30" s="92"/>
      <c r="I30" s="92" t="str">
        <f t="shared" si="3"/>
        <v>#DIV/0!</v>
      </c>
      <c r="J30" s="92">
        <v>600.0</v>
      </c>
      <c r="K30" s="93" t="str">
        <f t="shared" si="4"/>
        <v>#DIV/0!</v>
      </c>
      <c r="M30" s="89"/>
      <c r="N30" s="90"/>
      <c r="O30" s="91"/>
      <c r="P30" s="91"/>
      <c r="Q30" s="91"/>
      <c r="R30" s="91"/>
      <c r="S30" s="91"/>
      <c r="T30" s="91"/>
      <c r="U30" s="91"/>
      <c r="V30" s="94"/>
    </row>
    <row r="31">
      <c r="M31" s="98"/>
      <c r="N31" s="99"/>
      <c r="O31" s="99"/>
      <c r="P31" s="98"/>
    </row>
  </sheetData>
  <drawing r:id="rId1"/>
</worksheet>
</file>