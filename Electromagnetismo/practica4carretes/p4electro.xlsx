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1input" sheetId="2" r:id="rId6"/>
    <sheet state="visible" name="Hoja 2" sheetId="3" r:id="rId7"/>
    <sheet state="visible" name="antiparalel" sheetId="4" r:id="rId8"/>
  </sheets>
  <definedNames/>
  <calcPr/>
</workbook>
</file>

<file path=xl/sharedStrings.xml><?xml version="1.0" encoding="utf-8"?>
<sst xmlns="http://schemas.openxmlformats.org/spreadsheetml/2006/main" count="67" uniqueCount="33">
  <si>
    <t>N</t>
  </si>
  <si>
    <t>r (m)</t>
  </si>
  <si>
    <t>area (m^2)</t>
  </si>
  <si>
    <t>inc 0</t>
  </si>
  <si>
    <t>nu_0 (hz/N)</t>
  </si>
  <si>
    <t>W_max</t>
  </si>
  <si>
    <t>36 W</t>
  </si>
  <si>
    <t>Pos 0 z (mm)</t>
  </si>
  <si>
    <t>distancia entre placas (cm)</t>
  </si>
  <si>
    <t>I</t>
  </si>
  <si>
    <t>inc I</t>
  </si>
  <si>
    <t>B mt</t>
  </si>
  <si>
    <t>inc B</t>
  </si>
  <si>
    <t>B (T)</t>
  </si>
  <si>
    <t>B teorico</t>
  </si>
  <si>
    <t>inc'</t>
  </si>
  <si>
    <t>I(A)</t>
  </si>
  <si>
    <t>dI</t>
  </si>
  <si>
    <t>B(mT)</t>
  </si>
  <si>
    <t>dB</t>
  </si>
  <si>
    <t>r (cm)</t>
  </si>
  <si>
    <t>nu_0</t>
  </si>
  <si>
    <t>1,5 a (cm)</t>
  </si>
  <si>
    <t>0,6 a cm</t>
  </si>
  <si>
    <t>B_0</t>
  </si>
  <si>
    <t>Pos 0 z</t>
  </si>
  <si>
    <t>distancia entre placas cm</t>
  </si>
  <si>
    <t>pos z</t>
  </si>
  <si>
    <t>dist rel</t>
  </si>
  <si>
    <t>B</t>
  </si>
  <si>
    <t>Bajustada</t>
  </si>
  <si>
    <t>distancia entre placas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</si>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</sst>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 (T) y 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1'!$H$5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'Hoja 1'!$I$6:$I$32</c:f>
            </c:numRef>
          </c:xVal>
          <c:yVal>
            <c:numRef>
              <c:f>'Hoja 1'!$H$6:$H$32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112591"/>
        <c:axId val="1494245639"/>
      </c:scatterChart>
      <c:valAx>
        <c:axId val="17201125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245639"/>
      </c:valAx>
      <c:valAx>
        <c:axId val="1494245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112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 frente a 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antiparalel!$K$1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antiparalel!$L$2:$L$34</c:f>
            </c:numRef>
          </c:xVal>
          <c:yVal>
            <c:numRef>
              <c:f>antiparalel!$K$2:$K$34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140790"/>
        <c:axId val="1321138146"/>
      </c:scatterChart>
      <c:valAx>
        <c:axId val="18531407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138146"/>
      </c:valAx>
      <c:valAx>
        <c:axId val="1321138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140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657225</xdr:colOff>
      <xdr:row>7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476250</xdr:colOff>
      <xdr:row>20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5" max="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 s="1">
        <v>200.0</v>
      </c>
      <c r="B2" s="1">
        <f>10.5/100</f>
        <v>0.105</v>
      </c>
      <c r="C2" s="2">
        <f>(B2)^2*2*PI()</f>
        <v>0.06927211801</v>
      </c>
      <c r="D2" s="1">
        <v>-0.01</v>
      </c>
      <c r="E2" s="2">
        <f>4*PI()*10^(-7)</f>
        <v>0.000001256637061</v>
      </c>
      <c r="G2" s="1" t="s">
        <v>6</v>
      </c>
    </row>
    <row r="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H5" s="1" t="s">
        <v>13</v>
      </c>
      <c r="I5" s="1" t="s">
        <v>9</v>
      </c>
      <c r="J5" s="1" t="s">
        <v>14</v>
      </c>
    </row>
    <row r="6">
      <c r="A6" s="1">
        <v>294.0</v>
      </c>
      <c r="B6" s="1">
        <v>10.5</v>
      </c>
      <c r="C6" s="1">
        <v>1.38</v>
      </c>
      <c r="D6" s="2">
        <f t="shared" ref="D6:D26" si="1">C6*(2.5/100)+0.1</f>
        <v>0.1345</v>
      </c>
      <c r="E6" s="1">
        <v>-2.28</v>
      </c>
      <c r="F6" s="2">
        <f t="shared" ref="F6:F26" si="2">0.01/SQRT(12)</f>
        <v>0.002886751346</v>
      </c>
      <c r="H6" s="2">
        <f t="shared" ref="H6:H27" si="3">E6/1000</f>
        <v>-0.00228</v>
      </c>
      <c r="I6" s="2">
        <f t="shared" ref="I6:I27" si="4">C6</f>
        <v>1.38</v>
      </c>
      <c r="J6" s="2">
        <f t="shared" ref="J6:J27" si="5">($A$2*$B$2^2*$E$2)/((B6/2)^2+$B$2^2)^(3/2)*C6</f>
        <v>0.00000002640943496</v>
      </c>
    </row>
    <row r="7">
      <c r="B7" s="1">
        <v>10.5</v>
      </c>
      <c r="C7" s="1">
        <v>1.18</v>
      </c>
      <c r="D7" s="2">
        <f t="shared" si="1"/>
        <v>0.1295</v>
      </c>
      <c r="E7" s="1">
        <v>-1.97</v>
      </c>
      <c r="F7" s="2">
        <f t="shared" si="2"/>
        <v>0.002886751346</v>
      </c>
      <c r="H7" s="2">
        <f t="shared" si="3"/>
        <v>-0.00197</v>
      </c>
      <c r="I7" s="2">
        <f t="shared" si="4"/>
        <v>1.18</v>
      </c>
      <c r="J7" s="2">
        <f t="shared" si="5"/>
        <v>0.00000002258198062</v>
      </c>
    </row>
    <row r="8">
      <c r="B8" s="1">
        <v>10.5</v>
      </c>
      <c r="C8" s="1">
        <v>1.11</v>
      </c>
      <c r="D8" s="2">
        <f t="shared" si="1"/>
        <v>0.12775</v>
      </c>
      <c r="E8" s="1">
        <v>-1.84</v>
      </c>
      <c r="F8" s="2">
        <f t="shared" si="2"/>
        <v>0.002886751346</v>
      </c>
      <c r="H8" s="2">
        <f t="shared" si="3"/>
        <v>-0.00184</v>
      </c>
      <c r="I8" s="2">
        <f t="shared" si="4"/>
        <v>1.11</v>
      </c>
      <c r="J8" s="2">
        <f t="shared" si="5"/>
        <v>0.0000000212423716</v>
      </c>
    </row>
    <row r="9">
      <c r="B9" s="1">
        <v>10.5</v>
      </c>
      <c r="C9" s="1">
        <v>0.95</v>
      </c>
      <c r="D9" s="2">
        <f t="shared" si="1"/>
        <v>0.12375</v>
      </c>
      <c r="E9" s="1">
        <v>-1.6</v>
      </c>
      <c r="F9" s="2">
        <f t="shared" si="2"/>
        <v>0.002886751346</v>
      </c>
      <c r="H9" s="2">
        <f t="shared" si="3"/>
        <v>-0.0016</v>
      </c>
      <c r="I9" s="2">
        <f t="shared" si="4"/>
        <v>0.95</v>
      </c>
      <c r="J9" s="2">
        <f t="shared" si="5"/>
        <v>0.00000001818040813</v>
      </c>
    </row>
    <row r="10">
      <c r="B10" s="1">
        <v>10.5</v>
      </c>
      <c r="C10" s="1">
        <v>0.79</v>
      </c>
      <c r="D10" s="2">
        <f t="shared" si="1"/>
        <v>0.11975</v>
      </c>
      <c r="E10" s="1">
        <v>-1.33</v>
      </c>
      <c r="F10" s="2">
        <f t="shared" si="2"/>
        <v>0.002886751346</v>
      </c>
      <c r="H10" s="2">
        <f t="shared" si="3"/>
        <v>-0.00133</v>
      </c>
      <c r="I10" s="2">
        <f t="shared" si="4"/>
        <v>0.79</v>
      </c>
      <c r="J10" s="2">
        <f t="shared" si="5"/>
        <v>0.00000001511844465</v>
      </c>
    </row>
    <row r="11">
      <c r="B11" s="1">
        <v>10.5</v>
      </c>
      <c r="C11" s="1">
        <v>0.65</v>
      </c>
      <c r="D11" s="2">
        <f t="shared" si="1"/>
        <v>0.11625</v>
      </c>
      <c r="E11" s="1">
        <v>-1.11</v>
      </c>
      <c r="F11" s="2">
        <f t="shared" si="2"/>
        <v>0.002886751346</v>
      </c>
      <c r="H11" s="2">
        <f t="shared" si="3"/>
        <v>-0.00111</v>
      </c>
      <c r="I11" s="2">
        <f t="shared" si="4"/>
        <v>0.65</v>
      </c>
      <c r="J11" s="2">
        <f t="shared" si="5"/>
        <v>0.00000001243922661</v>
      </c>
    </row>
    <row r="12">
      <c r="B12" s="1">
        <v>10.5</v>
      </c>
      <c r="C12" s="1">
        <v>0.47</v>
      </c>
      <c r="D12" s="2">
        <f t="shared" si="1"/>
        <v>0.11175</v>
      </c>
      <c r="E12" s="1">
        <v>-0.79</v>
      </c>
      <c r="F12" s="2">
        <f t="shared" si="2"/>
        <v>0.002886751346</v>
      </c>
      <c r="H12" s="2">
        <f t="shared" si="3"/>
        <v>-0.00079</v>
      </c>
      <c r="I12" s="2">
        <f t="shared" si="4"/>
        <v>0.47</v>
      </c>
      <c r="J12" s="2">
        <f t="shared" si="5"/>
        <v>0.000000008994517704</v>
      </c>
    </row>
    <row r="13">
      <c r="B13" s="1">
        <v>10.5</v>
      </c>
      <c r="C13" s="1">
        <v>0.28</v>
      </c>
      <c r="D13" s="2">
        <f t="shared" si="1"/>
        <v>0.107</v>
      </c>
      <c r="E13" s="1">
        <v>-0.53</v>
      </c>
      <c r="F13" s="2">
        <f t="shared" si="2"/>
        <v>0.002886751346</v>
      </c>
      <c r="H13" s="2">
        <f t="shared" si="3"/>
        <v>-0.00053</v>
      </c>
      <c r="I13" s="2">
        <f t="shared" si="4"/>
        <v>0.28</v>
      </c>
      <c r="J13" s="2">
        <f t="shared" si="5"/>
        <v>0.000000005358436079</v>
      </c>
    </row>
    <row r="14">
      <c r="B14" s="1">
        <v>10.5</v>
      </c>
      <c r="C14" s="1">
        <v>0.2</v>
      </c>
      <c r="D14" s="2">
        <f t="shared" si="1"/>
        <v>0.105</v>
      </c>
      <c r="E14" s="1">
        <v>-0.36</v>
      </c>
      <c r="F14" s="2">
        <f t="shared" si="2"/>
        <v>0.002886751346</v>
      </c>
      <c r="H14" s="2">
        <f t="shared" si="3"/>
        <v>-0.00036</v>
      </c>
      <c r="I14" s="2">
        <f t="shared" si="4"/>
        <v>0.2</v>
      </c>
      <c r="J14" s="2">
        <f t="shared" si="5"/>
        <v>0.000000003827454342</v>
      </c>
    </row>
    <row r="15">
      <c r="B15" s="1">
        <v>10.5</v>
      </c>
      <c r="C15" s="1">
        <v>0.13</v>
      </c>
      <c r="D15" s="2">
        <f t="shared" si="1"/>
        <v>0.10325</v>
      </c>
      <c r="E15" s="1">
        <v>-0.24</v>
      </c>
      <c r="F15" s="2">
        <f t="shared" si="2"/>
        <v>0.002886751346</v>
      </c>
      <c r="H15" s="2">
        <f t="shared" si="3"/>
        <v>-0.00024</v>
      </c>
      <c r="I15" s="2">
        <f t="shared" si="4"/>
        <v>0.13</v>
      </c>
      <c r="J15" s="2">
        <f t="shared" si="5"/>
        <v>0.000000002487845322</v>
      </c>
    </row>
    <row r="16">
      <c r="B16" s="1">
        <v>10.5</v>
      </c>
      <c r="C16" s="1">
        <v>0.69</v>
      </c>
      <c r="D16" s="2">
        <f t="shared" si="1"/>
        <v>0.11725</v>
      </c>
      <c r="E16" s="1">
        <v>-1.18</v>
      </c>
      <c r="F16" s="2">
        <f t="shared" si="2"/>
        <v>0.002886751346</v>
      </c>
      <c r="H16" s="2">
        <f t="shared" si="3"/>
        <v>-0.00118</v>
      </c>
      <c r="I16" s="2">
        <f t="shared" si="4"/>
        <v>0.69</v>
      </c>
      <c r="J16" s="2">
        <f t="shared" si="5"/>
        <v>0.00000001320471748</v>
      </c>
    </row>
    <row r="17">
      <c r="B17" s="1">
        <v>10.5</v>
      </c>
      <c r="C17" s="1">
        <v>1.47</v>
      </c>
      <c r="D17" s="2">
        <f t="shared" si="1"/>
        <v>0.13675</v>
      </c>
      <c r="E17" s="1">
        <v>-2.42</v>
      </c>
      <c r="F17" s="2">
        <f t="shared" si="2"/>
        <v>0.002886751346</v>
      </c>
      <c r="H17" s="2">
        <f t="shared" si="3"/>
        <v>-0.00242</v>
      </c>
      <c r="I17" s="2">
        <f t="shared" si="4"/>
        <v>1.47</v>
      </c>
      <c r="J17" s="2">
        <f t="shared" si="5"/>
        <v>0.00000002813178941</v>
      </c>
    </row>
    <row r="18">
      <c r="B18" s="1">
        <v>10.5</v>
      </c>
      <c r="C18" s="1">
        <v>1.58</v>
      </c>
      <c r="D18" s="2">
        <f t="shared" si="1"/>
        <v>0.1395</v>
      </c>
      <c r="E18" s="1">
        <v>-2.61</v>
      </c>
      <c r="F18" s="2">
        <f t="shared" si="2"/>
        <v>0.002886751346</v>
      </c>
      <c r="H18" s="2">
        <f t="shared" si="3"/>
        <v>-0.00261</v>
      </c>
      <c r="I18" s="2">
        <f t="shared" si="4"/>
        <v>1.58</v>
      </c>
      <c r="J18" s="2">
        <f t="shared" si="5"/>
        <v>0.0000000302368893</v>
      </c>
    </row>
    <row r="19">
      <c r="B19" s="1">
        <v>10.5</v>
      </c>
      <c r="C19" s="1">
        <v>1.63</v>
      </c>
      <c r="D19" s="2">
        <f t="shared" si="1"/>
        <v>0.14075</v>
      </c>
      <c r="E19" s="1">
        <v>-2.7</v>
      </c>
      <c r="F19" s="2">
        <f t="shared" si="2"/>
        <v>0.002886751346</v>
      </c>
      <c r="H19" s="2">
        <f t="shared" si="3"/>
        <v>-0.0027</v>
      </c>
      <c r="I19" s="2">
        <f t="shared" si="4"/>
        <v>1.63</v>
      </c>
      <c r="J19" s="2">
        <f t="shared" si="5"/>
        <v>0.00000003119375289</v>
      </c>
    </row>
    <row r="20">
      <c r="B20" s="1">
        <v>10.5</v>
      </c>
      <c r="C20" s="1">
        <v>1.7</v>
      </c>
      <c r="D20" s="2">
        <f t="shared" si="1"/>
        <v>0.1425</v>
      </c>
      <c r="E20" s="1">
        <v>-2.8</v>
      </c>
      <c r="F20" s="2">
        <f t="shared" si="2"/>
        <v>0.002886751346</v>
      </c>
      <c r="H20" s="2">
        <f t="shared" si="3"/>
        <v>-0.0028</v>
      </c>
      <c r="I20" s="2">
        <f t="shared" si="4"/>
        <v>1.7</v>
      </c>
      <c r="J20" s="2">
        <f t="shared" si="5"/>
        <v>0.00000003253336191</v>
      </c>
    </row>
    <row r="21">
      <c r="B21" s="1">
        <v>10.5</v>
      </c>
      <c r="C21" s="1">
        <v>1.71</v>
      </c>
      <c r="D21" s="2">
        <f t="shared" si="1"/>
        <v>0.14275</v>
      </c>
      <c r="E21" s="1">
        <v>-2.83</v>
      </c>
      <c r="F21" s="2">
        <f t="shared" si="2"/>
        <v>0.002886751346</v>
      </c>
      <c r="H21" s="2">
        <f t="shared" si="3"/>
        <v>-0.00283</v>
      </c>
      <c r="I21" s="2">
        <f t="shared" si="4"/>
        <v>1.71</v>
      </c>
      <c r="J21" s="2">
        <f t="shared" si="5"/>
        <v>0.00000003272473463</v>
      </c>
    </row>
    <row r="22">
      <c r="B22" s="1">
        <v>10.5</v>
      </c>
      <c r="C22" s="1">
        <v>0.55</v>
      </c>
      <c r="D22" s="2">
        <f t="shared" si="1"/>
        <v>0.11375</v>
      </c>
      <c r="E22" s="1">
        <v>-0.94</v>
      </c>
      <c r="F22" s="2">
        <f t="shared" si="2"/>
        <v>0.002886751346</v>
      </c>
      <c r="H22" s="2">
        <f t="shared" si="3"/>
        <v>-0.00094</v>
      </c>
      <c r="I22" s="2">
        <f t="shared" si="4"/>
        <v>0.55</v>
      </c>
      <c r="J22" s="2">
        <f t="shared" si="5"/>
        <v>0.00000001052549944</v>
      </c>
    </row>
    <row r="23">
      <c r="B23" s="1">
        <v>10.5</v>
      </c>
      <c r="C23" s="1">
        <v>0.39</v>
      </c>
      <c r="D23" s="2">
        <f t="shared" si="1"/>
        <v>0.10975</v>
      </c>
      <c r="E23" s="1">
        <v>-0.67</v>
      </c>
      <c r="F23" s="2">
        <f t="shared" si="2"/>
        <v>0.002886751346</v>
      </c>
      <c r="H23" s="2">
        <f t="shared" si="3"/>
        <v>-0.00067</v>
      </c>
      <c r="I23" s="2">
        <f t="shared" si="4"/>
        <v>0.39</v>
      </c>
      <c r="J23" s="2">
        <f t="shared" si="5"/>
        <v>0.000000007463535967</v>
      </c>
    </row>
    <row r="24">
      <c r="B24" s="1">
        <v>10.5</v>
      </c>
      <c r="C24" s="1">
        <v>0.84</v>
      </c>
      <c r="D24" s="2">
        <f t="shared" si="1"/>
        <v>0.121</v>
      </c>
      <c r="E24" s="1">
        <v>-1.45</v>
      </c>
      <c r="F24" s="2">
        <f t="shared" si="2"/>
        <v>0.002886751346</v>
      </c>
      <c r="H24" s="2">
        <f t="shared" si="3"/>
        <v>-0.00145</v>
      </c>
      <c r="I24" s="2">
        <f t="shared" si="4"/>
        <v>0.84</v>
      </c>
      <c r="J24" s="2">
        <f t="shared" si="5"/>
        <v>0.00000001607530824</v>
      </c>
    </row>
    <row r="25">
      <c r="B25" s="1">
        <v>10.5</v>
      </c>
      <c r="C25" s="1">
        <v>1.03</v>
      </c>
      <c r="D25" s="2">
        <f t="shared" si="1"/>
        <v>0.12575</v>
      </c>
      <c r="E25" s="1">
        <v>-1.74</v>
      </c>
      <c r="F25" s="2">
        <f t="shared" si="2"/>
        <v>0.002886751346</v>
      </c>
      <c r="H25" s="2">
        <f t="shared" si="3"/>
        <v>-0.00174</v>
      </c>
      <c r="I25" s="2">
        <f t="shared" si="4"/>
        <v>1.03</v>
      </c>
      <c r="J25" s="2">
        <f t="shared" si="5"/>
        <v>0.00000001971138986</v>
      </c>
    </row>
    <row r="26">
      <c r="B26" s="1">
        <v>10.5</v>
      </c>
      <c r="C26" s="1">
        <v>1.3</v>
      </c>
      <c r="D26" s="2">
        <f t="shared" si="1"/>
        <v>0.1325</v>
      </c>
      <c r="E26" s="1">
        <v>-2.16</v>
      </c>
      <c r="F26" s="2">
        <f t="shared" si="2"/>
        <v>0.002886751346</v>
      </c>
      <c r="H26" s="2">
        <f t="shared" si="3"/>
        <v>-0.00216</v>
      </c>
      <c r="I26" s="2">
        <f t="shared" si="4"/>
        <v>1.3</v>
      </c>
      <c r="J26" s="2">
        <f t="shared" si="5"/>
        <v>0.00000002487845322</v>
      </c>
    </row>
    <row r="27">
      <c r="H27" s="2">
        <f t="shared" si="3"/>
        <v>0</v>
      </c>
      <c r="I27" s="2" t="str">
        <f t="shared" si="4"/>
        <v/>
      </c>
      <c r="J27" s="2">
        <f t="shared" si="5"/>
        <v>0</v>
      </c>
    </row>
    <row r="29">
      <c r="D29" s="1" t="s">
        <v>15</v>
      </c>
    </row>
    <row r="30">
      <c r="D30" s="2">
        <f t="shared" ref="D30:D50" si="6">(0.02*C6)+0.01</f>
        <v>0.0376</v>
      </c>
    </row>
    <row r="31">
      <c r="D31" s="2">
        <f t="shared" si="6"/>
        <v>0.0336</v>
      </c>
    </row>
    <row r="32">
      <c r="D32" s="2">
        <f t="shared" si="6"/>
        <v>0.0322</v>
      </c>
    </row>
    <row r="33">
      <c r="D33" s="2">
        <f t="shared" si="6"/>
        <v>0.029</v>
      </c>
    </row>
    <row r="34">
      <c r="D34" s="2">
        <f t="shared" si="6"/>
        <v>0.0258</v>
      </c>
    </row>
    <row r="35">
      <c r="D35" s="2">
        <f t="shared" si="6"/>
        <v>0.023</v>
      </c>
    </row>
    <row r="36">
      <c r="D36" s="2">
        <f t="shared" si="6"/>
        <v>0.0194</v>
      </c>
    </row>
    <row r="37">
      <c r="D37" s="2">
        <f t="shared" si="6"/>
        <v>0.0156</v>
      </c>
    </row>
    <row r="38">
      <c r="D38" s="2">
        <f t="shared" si="6"/>
        <v>0.014</v>
      </c>
    </row>
    <row r="39">
      <c r="D39" s="2">
        <f t="shared" si="6"/>
        <v>0.0126</v>
      </c>
    </row>
    <row r="40">
      <c r="D40" s="2">
        <f t="shared" si="6"/>
        <v>0.0238</v>
      </c>
    </row>
    <row r="41">
      <c r="D41" s="2">
        <f t="shared" si="6"/>
        <v>0.0394</v>
      </c>
    </row>
    <row r="42">
      <c r="D42" s="2">
        <f t="shared" si="6"/>
        <v>0.0416</v>
      </c>
    </row>
    <row r="43">
      <c r="D43" s="2">
        <f t="shared" si="6"/>
        <v>0.0426</v>
      </c>
    </row>
    <row r="44">
      <c r="D44" s="2">
        <f t="shared" si="6"/>
        <v>0.044</v>
      </c>
    </row>
    <row r="45">
      <c r="D45" s="2">
        <f t="shared" si="6"/>
        <v>0.0442</v>
      </c>
    </row>
    <row r="46">
      <c r="D46" s="2">
        <f t="shared" si="6"/>
        <v>0.021</v>
      </c>
    </row>
    <row r="47">
      <c r="D47" s="2">
        <f t="shared" si="6"/>
        <v>0.0178</v>
      </c>
    </row>
    <row r="48">
      <c r="D48" s="2">
        <f t="shared" si="6"/>
        <v>0.0268</v>
      </c>
    </row>
    <row r="49">
      <c r="D49" s="2">
        <f t="shared" si="6"/>
        <v>0.0306</v>
      </c>
    </row>
    <row r="50">
      <c r="D50" s="2">
        <f t="shared" si="6"/>
        <v>0.036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</row>
    <row r="2">
      <c r="A2" s="1">
        <v>1.38</v>
      </c>
      <c r="B2" s="2">
        <f t="shared" ref="B2:B22" si="1">(0.02*A2)+0.01</f>
        <v>0.0376</v>
      </c>
      <c r="C2" s="1">
        <v>-2.28</v>
      </c>
      <c r="D2" s="2">
        <f t="shared" ref="D2:D22" si="2">0.01/SQRT(12)</f>
        <v>0.002886751346</v>
      </c>
    </row>
    <row r="3">
      <c r="A3" s="1">
        <v>1.18</v>
      </c>
      <c r="B3" s="2">
        <f t="shared" si="1"/>
        <v>0.0336</v>
      </c>
      <c r="C3" s="1">
        <v>-1.97</v>
      </c>
      <c r="D3" s="2">
        <f t="shared" si="2"/>
        <v>0.002886751346</v>
      </c>
    </row>
    <row r="4">
      <c r="A4" s="1">
        <v>1.11</v>
      </c>
      <c r="B4" s="2">
        <f t="shared" si="1"/>
        <v>0.0322</v>
      </c>
      <c r="C4" s="1">
        <v>-1.84</v>
      </c>
      <c r="D4" s="2">
        <f t="shared" si="2"/>
        <v>0.002886751346</v>
      </c>
    </row>
    <row r="5">
      <c r="A5" s="1">
        <v>0.95</v>
      </c>
      <c r="B5" s="2">
        <f t="shared" si="1"/>
        <v>0.029</v>
      </c>
      <c r="C5" s="1">
        <v>-1.6</v>
      </c>
      <c r="D5" s="2">
        <f t="shared" si="2"/>
        <v>0.002886751346</v>
      </c>
    </row>
    <row r="6">
      <c r="A6" s="1">
        <v>0.79</v>
      </c>
      <c r="B6" s="2">
        <f t="shared" si="1"/>
        <v>0.0258</v>
      </c>
      <c r="C6" s="1">
        <v>-1.33</v>
      </c>
      <c r="D6" s="2">
        <f t="shared" si="2"/>
        <v>0.002886751346</v>
      </c>
    </row>
    <row r="7">
      <c r="A7" s="1">
        <v>0.65</v>
      </c>
      <c r="B7" s="2">
        <f t="shared" si="1"/>
        <v>0.023</v>
      </c>
      <c r="C7" s="1">
        <v>-1.11</v>
      </c>
      <c r="D7" s="2">
        <f t="shared" si="2"/>
        <v>0.002886751346</v>
      </c>
    </row>
    <row r="8">
      <c r="A8" s="1">
        <v>0.47</v>
      </c>
      <c r="B8" s="2">
        <f t="shared" si="1"/>
        <v>0.0194</v>
      </c>
      <c r="C8" s="1">
        <v>-0.79</v>
      </c>
      <c r="D8" s="2">
        <f t="shared" si="2"/>
        <v>0.002886751346</v>
      </c>
    </row>
    <row r="9">
      <c r="A9" s="1">
        <v>0.28</v>
      </c>
      <c r="B9" s="2">
        <f t="shared" si="1"/>
        <v>0.0156</v>
      </c>
      <c r="C9" s="1">
        <v>-0.53</v>
      </c>
      <c r="D9" s="2">
        <f t="shared" si="2"/>
        <v>0.002886751346</v>
      </c>
    </row>
    <row r="10">
      <c r="A10" s="1">
        <v>0.2</v>
      </c>
      <c r="B10" s="2">
        <f t="shared" si="1"/>
        <v>0.014</v>
      </c>
      <c r="C10" s="1">
        <v>-0.36</v>
      </c>
      <c r="D10" s="2">
        <f t="shared" si="2"/>
        <v>0.002886751346</v>
      </c>
    </row>
    <row r="11">
      <c r="A11" s="1">
        <v>0.13</v>
      </c>
      <c r="B11" s="2">
        <f t="shared" si="1"/>
        <v>0.0126</v>
      </c>
      <c r="C11" s="1">
        <v>-0.24</v>
      </c>
      <c r="D11" s="2">
        <f t="shared" si="2"/>
        <v>0.002886751346</v>
      </c>
    </row>
    <row r="12">
      <c r="A12" s="1">
        <v>0.69</v>
      </c>
      <c r="B12" s="2">
        <f t="shared" si="1"/>
        <v>0.0238</v>
      </c>
      <c r="C12" s="1">
        <v>-1.18</v>
      </c>
      <c r="D12" s="2">
        <f t="shared" si="2"/>
        <v>0.002886751346</v>
      </c>
    </row>
    <row r="13">
      <c r="A13" s="1">
        <v>1.47</v>
      </c>
      <c r="B13" s="2">
        <f t="shared" si="1"/>
        <v>0.0394</v>
      </c>
      <c r="C13" s="1">
        <v>-2.42</v>
      </c>
      <c r="D13" s="2">
        <f t="shared" si="2"/>
        <v>0.002886751346</v>
      </c>
    </row>
    <row r="14">
      <c r="A14" s="1">
        <v>1.58</v>
      </c>
      <c r="B14" s="2">
        <f t="shared" si="1"/>
        <v>0.0416</v>
      </c>
      <c r="C14" s="1">
        <v>-2.61</v>
      </c>
      <c r="D14" s="2">
        <f t="shared" si="2"/>
        <v>0.002886751346</v>
      </c>
    </row>
    <row r="15">
      <c r="A15" s="1">
        <v>1.63</v>
      </c>
      <c r="B15" s="2">
        <f t="shared" si="1"/>
        <v>0.0426</v>
      </c>
      <c r="C15" s="1">
        <v>-2.7</v>
      </c>
      <c r="D15" s="2">
        <f t="shared" si="2"/>
        <v>0.002886751346</v>
      </c>
    </row>
    <row r="16">
      <c r="A16" s="1">
        <v>1.7</v>
      </c>
      <c r="B16" s="2">
        <f t="shared" si="1"/>
        <v>0.044</v>
      </c>
      <c r="C16" s="1">
        <v>-2.8</v>
      </c>
      <c r="D16" s="2">
        <f t="shared" si="2"/>
        <v>0.002886751346</v>
      </c>
    </row>
    <row r="17">
      <c r="A17" s="1">
        <v>1.71</v>
      </c>
      <c r="B17" s="2">
        <f t="shared" si="1"/>
        <v>0.0442</v>
      </c>
      <c r="C17" s="1">
        <v>-2.83</v>
      </c>
      <c r="D17" s="2">
        <f t="shared" si="2"/>
        <v>0.002886751346</v>
      </c>
    </row>
    <row r="18">
      <c r="A18" s="1">
        <v>0.55</v>
      </c>
      <c r="B18" s="2">
        <f t="shared" si="1"/>
        <v>0.021</v>
      </c>
      <c r="C18" s="1">
        <v>-0.94</v>
      </c>
      <c r="D18" s="2">
        <f t="shared" si="2"/>
        <v>0.002886751346</v>
      </c>
    </row>
    <row r="19">
      <c r="A19" s="1">
        <v>0.39</v>
      </c>
      <c r="B19" s="2">
        <f t="shared" si="1"/>
        <v>0.0178</v>
      </c>
      <c r="C19" s="1">
        <v>-0.67</v>
      </c>
      <c r="D19" s="2">
        <f t="shared" si="2"/>
        <v>0.002886751346</v>
      </c>
    </row>
    <row r="20">
      <c r="A20" s="1">
        <v>0.84</v>
      </c>
      <c r="B20" s="2">
        <f t="shared" si="1"/>
        <v>0.0268</v>
      </c>
      <c r="C20" s="1">
        <v>-1.45</v>
      </c>
      <c r="D20" s="2">
        <f t="shared" si="2"/>
        <v>0.002886751346</v>
      </c>
    </row>
    <row r="21">
      <c r="A21" s="1">
        <v>1.03</v>
      </c>
      <c r="B21" s="2">
        <f t="shared" si="1"/>
        <v>0.0306</v>
      </c>
      <c r="C21" s="1">
        <v>-1.74</v>
      </c>
      <c r="D21" s="2">
        <f t="shared" si="2"/>
        <v>0.002886751346</v>
      </c>
    </row>
    <row r="22">
      <c r="A22" s="1">
        <v>1.3</v>
      </c>
      <c r="B22" s="2">
        <f t="shared" si="1"/>
        <v>0.036</v>
      </c>
      <c r="C22" s="1">
        <v>-2.16</v>
      </c>
      <c r="D22" s="2">
        <f t="shared" si="2"/>
        <v>0.002886751346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13"/>
  </cols>
  <sheetData>
    <row r="1">
      <c r="A1" s="1" t="s">
        <v>0</v>
      </c>
      <c r="B1" s="1" t="s">
        <v>20</v>
      </c>
      <c r="C1" s="1" t="s">
        <v>2</v>
      </c>
      <c r="D1" s="1" t="s">
        <v>3</v>
      </c>
      <c r="E1" s="1" t="s">
        <v>21</v>
      </c>
      <c r="G1" s="1" t="s">
        <v>22</v>
      </c>
      <c r="H1" s="1" t="s">
        <v>23</v>
      </c>
      <c r="I1" s="1" t="s">
        <v>24</v>
      </c>
    </row>
    <row r="2">
      <c r="A2" s="1">
        <v>200.0</v>
      </c>
      <c r="B2" s="1">
        <f>10.5/100</f>
        <v>0.105</v>
      </c>
      <c r="C2" s="2">
        <f>(B2)^2*2*PI()</f>
        <v>0.06927211801</v>
      </c>
      <c r="E2" s="2">
        <f>4*PI()*10^(-7)</f>
        <v>0.000001256637061</v>
      </c>
      <c r="G2" s="2">
        <f>B2*100*1.5</f>
        <v>15.75</v>
      </c>
      <c r="H2" s="2">
        <f>B2*100*0.6</f>
        <v>6.3</v>
      </c>
    </row>
    <row r="3">
      <c r="K3" s="1">
        <f>294+157.5</f>
        <v>451.5</v>
      </c>
    </row>
    <row r="5">
      <c r="A5" s="3" t="s">
        <v>25</v>
      </c>
      <c r="B5" s="3" t="s">
        <v>26</v>
      </c>
      <c r="C5" s="3" t="s">
        <v>27</v>
      </c>
      <c r="D5" s="3" t="s">
        <v>28</v>
      </c>
      <c r="E5" s="3" t="s">
        <v>9</v>
      </c>
      <c r="F5" s="3" t="s">
        <v>10</v>
      </c>
      <c r="G5" s="3" t="s">
        <v>29</v>
      </c>
      <c r="H5" s="3" t="s">
        <v>12</v>
      </c>
      <c r="I5" s="3" t="s">
        <v>30</v>
      </c>
    </row>
    <row r="6">
      <c r="A6" s="3">
        <v>294.0</v>
      </c>
      <c r="B6" s="3">
        <v>10.5</v>
      </c>
      <c r="C6" s="3">
        <v>294.0</v>
      </c>
      <c r="D6" s="4">
        <f t="shared" ref="D6:D21" si="1">-$A$6+C6</f>
        <v>0</v>
      </c>
      <c r="E6" s="3">
        <v>1.5</v>
      </c>
      <c r="F6" s="4">
        <f t="shared" ref="F6:F21" si="2">E6*(2.5/100)+0.1</f>
        <v>0.1375</v>
      </c>
      <c r="G6" s="3">
        <v>-2.48</v>
      </c>
      <c r="H6" s="4">
        <f t="shared" ref="H6:H21" si="3">0.01/SQRT(12)</f>
        <v>0.002886751346</v>
      </c>
      <c r="I6" s="4"/>
    </row>
    <row r="7">
      <c r="A7" s="3">
        <v>294.0</v>
      </c>
      <c r="B7" s="3">
        <v>10.5</v>
      </c>
      <c r="C7" s="3">
        <v>310.0</v>
      </c>
      <c r="D7" s="4">
        <f t="shared" si="1"/>
        <v>16</v>
      </c>
      <c r="E7" s="3">
        <v>1.5</v>
      </c>
      <c r="F7" s="4">
        <f t="shared" si="2"/>
        <v>0.1375</v>
      </c>
      <c r="G7" s="3">
        <v>-2.46</v>
      </c>
      <c r="H7" s="4">
        <f t="shared" si="3"/>
        <v>0.002886751346</v>
      </c>
      <c r="I7" s="4"/>
    </row>
    <row r="8">
      <c r="A8" s="3">
        <v>294.0</v>
      </c>
      <c r="B8" s="3">
        <v>10.5</v>
      </c>
      <c r="C8" s="3">
        <v>321.0</v>
      </c>
      <c r="D8" s="4">
        <f t="shared" si="1"/>
        <v>27</v>
      </c>
      <c r="E8" s="3">
        <v>1.5</v>
      </c>
      <c r="F8" s="4">
        <f t="shared" si="2"/>
        <v>0.1375</v>
      </c>
      <c r="G8" s="3">
        <v>-2.46</v>
      </c>
      <c r="H8" s="4">
        <f t="shared" si="3"/>
        <v>0.002886751346</v>
      </c>
      <c r="I8" s="4"/>
    </row>
    <row r="9">
      <c r="A9" s="3">
        <v>294.0</v>
      </c>
      <c r="B9" s="3">
        <v>10.5</v>
      </c>
      <c r="C9" s="3">
        <v>330.0</v>
      </c>
      <c r="D9" s="4">
        <f t="shared" si="1"/>
        <v>36</v>
      </c>
      <c r="E9" s="3">
        <v>1.49</v>
      </c>
      <c r="F9" s="4">
        <f t="shared" si="2"/>
        <v>0.13725</v>
      </c>
      <c r="G9" s="3">
        <v>-2.44</v>
      </c>
      <c r="H9" s="4">
        <f t="shared" si="3"/>
        <v>0.002886751346</v>
      </c>
      <c r="I9" s="4"/>
    </row>
    <row r="10">
      <c r="A10" s="3">
        <v>294.0</v>
      </c>
      <c r="B10" s="3">
        <v>10.5</v>
      </c>
      <c r="C10" s="3">
        <v>340.0</v>
      </c>
      <c r="D10" s="4">
        <f t="shared" si="1"/>
        <v>46</v>
      </c>
      <c r="E10" s="3">
        <v>1.5</v>
      </c>
      <c r="F10" s="4">
        <f t="shared" si="2"/>
        <v>0.1375</v>
      </c>
      <c r="G10" s="3">
        <v>-2.38</v>
      </c>
      <c r="H10" s="4">
        <f t="shared" si="3"/>
        <v>0.002886751346</v>
      </c>
      <c r="I10" s="4"/>
    </row>
    <row r="11">
      <c r="A11" s="3">
        <v>294.0</v>
      </c>
      <c r="B11" s="3">
        <v>10.5</v>
      </c>
      <c r="C11" s="3">
        <v>350.0</v>
      </c>
      <c r="D11" s="4">
        <f t="shared" si="1"/>
        <v>56</v>
      </c>
      <c r="E11" s="3">
        <v>1.5</v>
      </c>
      <c r="F11" s="4">
        <f t="shared" si="2"/>
        <v>0.1375</v>
      </c>
      <c r="G11" s="3">
        <v>-2.29</v>
      </c>
      <c r="H11" s="4">
        <f t="shared" si="3"/>
        <v>0.002886751346</v>
      </c>
      <c r="I11" s="4"/>
    </row>
    <row r="12">
      <c r="A12" s="3">
        <v>294.0</v>
      </c>
      <c r="B12" s="3">
        <v>10.5</v>
      </c>
      <c r="C12" s="3">
        <v>360.0</v>
      </c>
      <c r="D12" s="4">
        <f t="shared" si="1"/>
        <v>66</v>
      </c>
      <c r="E12" s="3">
        <v>1.5</v>
      </c>
      <c r="F12" s="4">
        <f t="shared" si="2"/>
        <v>0.1375</v>
      </c>
      <c r="G12" s="3">
        <v>-2.16</v>
      </c>
      <c r="H12" s="4">
        <f t="shared" si="3"/>
        <v>0.002886751346</v>
      </c>
      <c r="I12" s="4"/>
    </row>
    <row r="13">
      <c r="A13" s="3">
        <v>294.0</v>
      </c>
      <c r="B13" s="3">
        <v>10.5</v>
      </c>
      <c r="C13" s="3">
        <v>370.0</v>
      </c>
      <c r="D13" s="4">
        <f t="shared" si="1"/>
        <v>76</v>
      </c>
      <c r="E13" s="3">
        <v>1.49</v>
      </c>
      <c r="F13" s="4">
        <f t="shared" si="2"/>
        <v>0.13725</v>
      </c>
      <c r="G13" s="3">
        <v>-2.01</v>
      </c>
      <c r="H13" s="4">
        <f t="shared" si="3"/>
        <v>0.002886751346</v>
      </c>
      <c r="I13" s="4"/>
    </row>
    <row r="14">
      <c r="A14" s="3">
        <v>294.0</v>
      </c>
      <c r="B14" s="3">
        <v>10.5</v>
      </c>
      <c r="C14" s="3">
        <v>380.0</v>
      </c>
      <c r="D14" s="4">
        <f t="shared" si="1"/>
        <v>86</v>
      </c>
      <c r="E14" s="3">
        <v>1.49</v>
      </c>
      <c r="F14" s="4">
        <f t="shared" si="2"/>
        <v>0.13725</v>
      </c>
      <c r="G14" s="3">
        <v>-1.82</v>
      </c>
      <c r="H14" s="4">
        <f t="shared" si="3"/>
        <v>0.002886751346</v>
      </c>
      <c r="I14" s="4"/>
    </row>
    <row r="15">
      <c r="A15" s="3">
        <v>294.0</v>
      </c>
      <c r="B15" s="3">
        <v>10.5</v>
      </c>
      <c r="C15" s="3">
        <v>390.0</v>
      </c>
      <c r="D15" s="4">
        <f t="shared" si="1"/>
        <v>96</v>
      </c>
      <c r="E15" s="3">
        <v>1.49</v>
      </c>
      <c r="F15" s="4">
        <f t="shared" si="2"/>
        <v>0.13725</v>
      </c>
      <c r="G15" s="3">
        <v>-1.64</v>
      </c>
      <c r="H15" s="4">
        <f t="shared" si="3"/>
        <v>0.002886751346</v>
      </c>
      <c r="I15" s="4"/>
    </row>
    <row r="16">
      <c r="A16" s="3">
        <v>294.0</v>
      </c>
      <c r="B16" s="3">
        <v>10.5</v>
      </c>
      <c r="C16" s="3">
        <v>400.0</v>
      </c>
      <c r="D16" s="4">
        <f t="shared" si="1"/>
        <v>106</v>
      </c>
      <c r="E16" s="3">
        <v>1.49</v>
      </c>
      <c r="F16" s="4">
        <f t="shared" si="2"/>
        <v>0.13725</v>
      </c>
      <c r="G16" s="3">
        <v>-1.46</v>
      </c>
      <c r="H16" s="4">
        <f t="shared" si="3"/>
        <v>0.002886751346</v>
      </c>
      <c r="I16" s="4"/>
    </row>
    <row r="17">
      <c r="A17" s="3">
        <v>294.0</v>
      </c>
      <c r="B17" s="3">
        <v>10.5</v>
      </c>
      <c r="C17" s="3">
        <v>410.0</v>
      </c>
      <c r="D17" s="4">
        <f t="shared" si="1"/>
        <v>116</v>
      </c>
      <c r="E17" s="3">
        <v>1.49</v>
      </c>
      <c r="F17" s="4">
        <f t="shared" si="2"/>
        <v>0.13725</v>
      </c>
      <c r="G17" s="3">
        <v>-1.28</v>
      </c>
      <c r="H17" s="4">
        <f t="shared" si="3"/>
        <v>0.002886751346</v>
      </c>
      <c r="I17" s="4"/>
    </row>
    <row r="18">
      <c r="A18" s="3">
        <v>294.0</v>
      </c>
      <c r="B18" s="3">
        <v>10.5</v>
      </c>
      <c r="C18" s="3">
        <v>420.0</v>
      </c>
      <c r="D18" s="4">
        <f t="shared" si="1"/>
        <v>126</v>
      </c>
      <c r="E18" s="3">
        <v>1.49</v>
      </c>
      <c r="F18" s="4">
        <f t="shared" si="2"/>
        <v>0.13725</v>
      </c>
      <c r="G18" s="3">
        <v>-1.11</v>
      </c>
      <c r="H18" s="4">
        <f t="shared" si="3"/>
        <v>0.002886751346</v>
      </c>
      <c r="I18" s="4"/>
      <c r="K18" s="2">
        <f>A17-A24</f>
        <v>22</v>
      </c>
    </row>
    <row r="19">
      <c r="A19" s="3">
        <v>294.0</v>
      </c>
      <c r="B19" s="3">
        <v>10.5</v>
      </c>
      <c r="C19" s="3">
        <v>430.0</v>
      </c>
      <c r="D19" s="4">
        <f t="shared" si="1"/>
        <v>136</v>
      </c>
      <c r="E19" s="3">
        <v>1.5</v>
      </c>
      <c r="F19" s="4">
        <f t="shared" si="2"/>
        <v>0.1375</v>
      </c>
      <c r="G19" s="3">
        <v>-0.99</v>
      </c>
      <c r="H19" s="4">
        <f t="shared" si="3"/>
        <v>0.002886751346</v>
      </c>
      <c r="I19" s="4"/>
    </row>
    <row r="20">
      <c r="A20" s="3">
        <v>294.0</v>
      </c>
      <c r="B20" s="3">
        <v>10.5</v>
      </c>
      <c r="C20" s="3">
        <v>440.0</v>
      </c>
      <c r="D20" s="4">
        <f t="shared" si="1"/>
        <v>146</v>
      </c>
      <c r="E20" s="3">
        <v>1.5</v>
      </c>
      <c r="F20" s="4">
        <f t="shared" si="2"/>
        <v>0.1375</v>
      </c>
      <c r="G20" s="3">
        <v>-0.91</v>
      </c>
      <c r="H20" s="4">
        <f t="shared" si="3"/>
        <v>0.002886751346</v>
      </c>
      <c r="I20" s="4"/>
    </row>
    <row r="21">
      <c r="A21" s="3">
        <v>294.0</v>
      </c>
      <c r="B21" s="3">
        <v>10.5</v>
      </c>
      <c r="C21" s="3">
        <v>450.0</v>
      </c>
      <c r="D21" s="4">
        <f t="shared" si="1"/>
        <v>156</v>
      </c>
      <c r="E21" s="3">
        <v>1.5</v>
      </c>
      <c r="F21" s="4">
        <f t="shared" si="2"/>
        <v>0.1375</v>
      </c>
      <c r="G21" s="3">
        <v>-0.8</v>
      </c>
      <c r="H21" s="4">
        <f t="shared" si="3"/>
        <v>0.002886751346</v>
      </c>
      <c r="I21" s="4"/>
    </row>
    <row r="23">
      <c r="A23" s="5" t="s">
        <v>25</v>
      </c>
      <c r="B23" s="5" t="s">
        <v>31</v>
      </c>
      <c r="C23" s="5" t="s">
        <v>27</v>
      </c>
      <c r="D23" s="5" t="s">
        <v>28</v>
      </c>
      <c r="E23" s="5" t="s">
        <v>9</v>
      </c>
      <c r="F23" s="5" t="s">
        <v>10</v>
      </c>
      <c r="G23" s="5" t="s">
        <v>29</v>
      </c>
      <c r="H23" s="5" t="s">
        <v>12</v>
      </c>
      <c r="I23" s="5" t="s">
        <v>30</v>
      </c>
    </row>
    <row r="24">
      <c r="A24" s="5">
        <v>272.0</v>
      </c>
      <c r="B24" s="5">
        <v>6.3</v>
      </c>
      <c r="C24" s="5">
        <v>272.0</v>
      </c>
      <c r="D24" s="6">
        <f t="shared" ref="D24:D40" si="4">-$A$24+C24</f>
        <v>0</v>
      </c>
      <c r="E24" s="5">
        <v>1.5</v>
      </c>
      <c r="F24" s="6">
        <f t="shared" ref="F24:F40" si="5">E24*(2.5/100)+0.1</f>
        <v>0.1375</v>
      </c>
      <c r="G24" s="5">
        <v>-3.02</v>
      </c>
      <c r="H24" s="6">
        <f t="shared" ref="H24:H40" si="6">0.01/SQRT(12)</f>
        <v>0.002886751346</v>
      </c>
      <c r="I24" s="6"/>
    </row>
    <row r="25">
      <c r="A25" s="5">
        <v>272.0</v>
      </c>
      <c r="B25" s="5">
        <v>6.3</v>
      </c>
      <c r="C25" s="5">
        <v>280.0</v>
      </c>
      <c r="D25" s="6">
        <f t="shared" si="4"/>
        <v>8</v>
      </c>
      <c r="E25" s="5">
        <v>1.49</v>
      </c>
      <c r="F25" s="6">
        <f t="shared" si="5"/>
        <v>0.13725</v>
      </c>
      <c r="G25" s="5">
        <v>-3.01</v>
      </c>
      <c r="H25" s="6">
        <f t="shared" si="6"/>
        <v>0.002886751346</v>
      </c>
      <c r="I25" s="6"/>
    </row>
    <row r="26">
      <c r="A26" s="5">
        <v>272.0</v>
      </c>
      <c r="B26" s="5">
        <v>6.3</v>
      </c>
      <c r="C26" s="5">
        <v>290.0</v>
      </c>
      <c r="D26" s="6">
        <f t="shared" si="4"/>
        <v>18</v>
      </c>
      <c r="E26" s="5">
        <v>1.49</v>
      </c>
      <c r="F26" s="6">
        <f t="shared" si="5"/>
        <v>0.13725</v>
      </c>
      <c r="G26" s="5">
        <v>-2.94</v>
      </c>
      <c r="H26" s="6">
        <f t="shared" si="6"/>
        <v>0.002886751346</v>
      </c>
      <c r="I26" s="6"/>
    </row>
    <row r="27">
      <c r="A27" s="5">
        <v>272.0</v>
      </c>
      <c r="B27" s="5">
        <v>6.3</v>
      </c>
      <c r="C27" s="5">
        <v>300.0</v>
      </c>
      <c r="D27" s="6">
        <f t="shared" si="4"/>
        <v>28</v>
      </c>
      <c r="E27" s="5">
        <v>1.49</v>
      </c>
      <c r="F27" s="6">
        <f t="shared" si="5"/>
        <v>0.13725</v>
      </c>
      <c r="G27" s="5">
        <v>-2.82</v>
      </c>
      <c r="H27" s="6">
        <f t="shared" si="6"/>
        <v>0.002886751346</v>
      </c>
      <c r="I27" s="6"/>
    </row>
    <row r="28">
      <c r="A28" s="5">
        <v>272.0</v>
      </c>
      <c r="B28" s="5">
        <v>6.3</v>
      </c>
      <c r="C28" s="5">
        <v>310.0</v>
      </c>
      <c r="D28" s="6">
        <f t="shared" si="4"/>
        <v>38</v>
      </c>
      <c r="E28" s="5">
        <v>1.5</v>
      </c>
      <c r="F28" s="6">
        <f t="shared" si="5"/>
        <v>0.1375</v>
      </c>
      <c r="G28" s="5">
        <v>-2.7</v>
      </c>
      <c r="H28" s="6">
        <f t="shared" si="6"/>
        <v>0.002886751346</v>
      </c>
      <c r="I28" s="6"/>
      <c r="K28" s="1">
        <f>272+157</f>
        <v>429</v>
      </c>
    </row>
    <row r="29">
      <c r="A29" s="5">
        <v>272.0</v>
      </c>
      <c r="B29" s="5">
        <v>6.3</v>
      </c>
      <c r="C29" s="5">
        <v>320.0</v>
      </c>
      <c r="D29" s="6">
        <f t="shared" si="4"/>
        <v>48</v>
      </c>
      <c r="E29" s="5">
        <v>1.5</v>
      </c>
      <c r="F29" s="6">
        <f t="shared" si="5"/>
        <v>0.1375</v>
      </c>
      <c r="G29" s="5">
        <v>-2.51</v>
      </c>
      <c r="H29" s="6">
        <f t="shared" si="6"/>
        <v>0.002886751346</v>
      </c>
      <c r="I29" s="6"/>
    </row>
    <row r="30">
      <c r="A30" s="5">
        <v>272.0</v>
      </c>
      <c r="B30" s="5">
        <v>6.3</v>
      </c>
      <c r="C30" s="5">
        <v>330.0</v>
      </c>
      <c r="D30" s="6">
        <f t="shared" si="4"/>
        <v>58</v>
      </c>
      <c r="E30" s="5">
        <v>1.5</v>
      </c>
      <c r="F30" s="6">
        <f t="shared" si="5"/>
        <v>0.1375</v>
      </c>
      <c r="G30" s="5">
        <v>-2.28</v>
      </c>
      <c r="H30" s="6">
        <f t="shared" si="6"/>
        <v>0.002886751346</v>
      </c>
      <c r="I30" s="6"/>
    </row>
    <row r="31">
      <c r="A31" s="5">
        <v>272.0</v>
      </c>
      <c r="B31" s="5">
        <v>6.3</v>
      </c>
      <c r="C31" s="5">
        <v>340.0</v>
      </c>
      <c r="D31" s="6">
        <f t="shared" si="4"/>
        <v>68</v>
      </c>
      <c r="E31" s="5">
        <v>1.5</v>
      </c>
      <c r="F31" s="6">
        <f t="shared" si="5"/>
        <v>0.1375</v>
      </c>
      <c r="G31" s="5">
        <v>-2.06</v>
      </c>
      <c r="H31" s="6">
        <f t="shared" si="6"/>
        <v>0.002886751346</v>
      </c>
      <c r="I31" s="6"/>
    </row>
    <row r="32">
      <c r="A32" s="5">
        <v>272.0</v>
      </c>
      <c r="B32" s="5">
        <v>6.3</v>
      </c>
      <c r="C32" s="5">
        <v>350.0</v>
      </c>
      <c r="D32" s="6">
        <f t="shared" si="4"/>
        <v>78</v>
      </c>
      <c r="E32" s="5">
        <v>1.49</v>
      </c>
      <c r="F32" s="6">
        <f t="shared" si="5"/>
        <v>0.13725</v>
      </c>
      <c r="G32" s="5">
        <v>-1.85</v>
      </c>
      <c r="H32" s="6">
        <f t="shared" si="6"/>
        <v>0.002886751346</v>
      </c>
      <c r="I32" s="6"/>
    </row>
    <row r="33">
      <c r="A33" s="5">
        <v>272.0</v>
      </c>
      <c r="B33" s="5">
        <v>6.3</v>
      </c>
      <c r="C33" s="5">
        <v>360.0</v>
      </c>
      <c r="D33" s="6">
        <f t="shared" si="4"/>
        <v>88</v>
      </c>
      <c r="E33" s="5">
        <v>1.5</v>
      </c>
      <c r="F33" s="6">
        <f t="shared" si="5"/>
        <v>0.1375</v>
      </c>
      <c r="G33" s="5">
        <v>-1.62</v>
      </c>
      <c r="H33" s="6">
        <f t="shared" si="6"/>
        <v>0.002886751346</v>
      </c>
      <c r="I33" s="6"/>
    </row>
    <row r="34">
      <c r="A34" s="5">
        <v>272.0</v>
      </c>
      <c r="B34" s="5">
        <v>6.3</v>
      </c>
      <c r="C34" s="5">
        <v>370.0</v>
      </c>
      <c r="D34" s="6">
        <f t="shared" si="4"/>
        <v>98</v>
      </c>
      <c r="E34" s="5">
        <v>1.5</v>
      </c>
      <c r="F34" s="6">
        <f t="shared" si="5"/>
        <v>0.1375</v>
      </c>
      <c r="G34" s="5">
        <v>-1.42</v>
      </c>
      <c r="H34" s="6">
        <f t="shared" si="6"/>
        <v>0.002886751346</v>
      </c>
      <c r="I34" s="6"/>
    </row>
    <row r="35">
      <c r="A35" s="5">
        <v>272.0</v>
      </c>
      <c r="B35" s="5">
        <v>6.3</v>
      </c>
      <c r="C35" s="5">
        <v>380.0</v>
      </c>
      <c r="D35" s="6">
        <f t="shared" si="4"/>
        <v>108</v>
      </c>
      <c r="E35" s="5">
        <v>1.5</v>
      </c>
      <c r="F35" s="6">
        <f t="shared" si="5"/>
        <v>0.1375</v>
      </c>
      <c r="G35" s="5">
        <v>-1.24</v>
      </c>
      <c r="H35" s="6">
        <f t="shared" si="6"/>
        <v>0.002886751346</v>
      </c>
      <c r="I35" s="6"/>
    </row>
    <row r="36">
      <c r="A36" s="5">
        <v>272.0</v>
      </c>
      <c r="B36" s="5">
        <v>6.3</v>
      </c>
      <c r="C36" s="5">
        <v>390.0</v>
      </c>
      <c r="D36" s="6">
        <f t="shared" si="4"/>
        <v>118</v>
      </c>
      <c r="E36" s="5">
        <v>1.5</v>
      </c>
      <c r="F36" s="6">
        <f t="shared" si="5"/>
        <v>0.1375</v>
      </c>
      <c r="G36" s="5">
        <v>-1.07</v>
      </c>
      <c r="H36" s="6">
        <f t="shared" si="6"/>
        <v>0.002886751346</v>
      </c>
      <c r="I36" s="6"/>
    </row>
    <row r="37">
      <c r="A37" s="5">
        <v>272.0</v>
      </c>
      <c r="B37" s="5">
        <v>6.3</v>
      </c>
      <c r="C37" s="5">
        <v>400.0</v>
      </c>
      <c r="D37" s="6">
        <f t="shared" si="4"/>
        <v>128</v>
      </c>
      <c r="E37" s="5">
        <v>1.5</v>
      </c>
      <c r="F37" s="6">
        <f t="shared" si="5"/>
        <v>0.1375</v>
      </c>
      <c r="G37" s="5">
        <v>-0.92</v>
      </c>
      <c r="H37" s="6">
        <f t="shared" si="6"/>
        <v>0.002886751346</v>
      </c>
      <c r="I37" s="6"/>
    </row>
    <row r="38">
      <c r="A38" s="5">
        <v>272.0</v>
      </c>
      <c r="B38" s="5">
        <v>6.3</v>
      </c>
      <c r="C38" s="5">
        <v>410.0</v>
      </c>
      <c r="D38" s="6">
        <f t="shared" si="4"/>
        <v>138</v>
      </c>
      <c r="E38" s="5">
        <v>1.5</v>
      </c>
      <c r="F38" s="6">
        <f t="shared" si="5"/>
        <v>0.1375</v>
      </c>
      <c r="G38" s="5">
        <v>-0.8</v>
      </c>
      <c r="H38" s="6">
        <f t="shared" si="6"/>
        <v>0.002886751346</v>
      </c>
      <c r="I38" s="6"/>
    </row>
    <row r="39">
      <c r="A39" s="5">
        <v>272.0</v>
      </c>
      <c r="B39" s="5">
        <v>6.3</v>
      </c>
      <c r="C39" s="5">
        <v>420.0</v>
      </c>
      <c r="D39" s="6">
        <f t="shared" si="4"/>
        <v>148</v>
      </c>
      <c r="E39" s="5">
        <v>1.5</v>
      </c>
      <c r="F39" s="6">
        <f t="shared" si="5"/>
        <v>0.1375</v>
      </c>
      <c r="G39" s="5">
        <v>-0.7</v>
      </c>
      <c r="H39" s="6">
        <f t="shared" si="6"/>
        <v>0.002886751346</v>
      </c>
      <c r="I39" s="6"/>
    </row>
    <row r="40">
      <c r="A40" s="5">
        <v>272.0</v>
      </c>
      <c r="B40" s="5">
        <v>6.3</v>
      </c>
      <c r="C40" s="5">
        <v>430.0</v>
      </c>
      <c r="D40" s="6">
        <f t="shared" si="4"/>
        <v>158</v>
      </c>
      <c r="E40" s="5">
        <v>1.5</v>
      </c>
      <c r="F40" s="6">
        <f t="shared" si="5"/>
        <v>0.1375</v>
      </c>
      <c r="G40" s="5">
        <v>-0.61</v>
      </c>
      <c r="H40" s="6">
        <f t="shared" si="6"/>
        <v>0.002886751346</v>
      </c>
      <c r="I40" s="6"/>
    </row>
    <row r="42">
      <c r="A42" s="7" t="s">
        <v>25</v>
      </c>
      <c r="B42" s="7" t="s">
        <v>31</v>
      </c>
      <c r="C42" s="7" t="s">
        <v>27</v>
      </c>
      <c r="D42" s="7" t="s">
        <v>28</v>
      </c>
      <c r="E42" s="7" t="s">
        <v>9</v>
      </c>
      <c r="F42" s="7" t="s">
        <v>10</v>
      </c>
      <c r="G42" s="7" t="s">
        <v>29</v>
      </c>
      <c r="H42" s="7" t="s">
        <v>12</v>
      </c>
      <c r="I42" s="7" t="s">
        <v>30</v>
      </c>
    </row>
    <row r="43">
      <c r="A43" s="7">
        <v>322.0</v>
      </c>
      <c r="B43" s="7">
        <v>15.8</v>
      </c>
      <c r="C43" s="7">
        <v>322.0</v>
      </c>
      <c r="D43" s="8">
        <f t="shared" ref="D43:D57" si="7">-$A$43+C43</f>
        <v>0</v>
      </c>
      <c r="E43" s="7">
        <v>1.5</v>
      </c>
      <c r="F43" s="8">
        <f t="shared" ref="F43:F57" si="8">E43*(2.5/100)+0.1</f>
        <v>0.1375</v>
      </c>
      <c r="G43" s="7">
        <v>-1.75</v>
      </c>
      <c r="H43" s="8">
        <f t="shared" ref="H43:H57" si="9">0.01/SQRT(12)</f>
        <v>0.002886751346</v>
      </c>
      <c r="I43" s="8"/>
    </row>
    <row r="44">
      <c r="A44" s="7">
        <v>322.0</v>
      </c>
      <c r="B44" s="7">
        <v>15.8</v>
      </c>
      <c r="C44" s="7">
        <v>330.0</v>
      </c>
      <c r="D44" s="8">
        <f t="shared" si="7"/>
        <v>8</v>
      </c>
      <c r="E44" s="7">
        <v>1.5</v>
      </c>
      <c r="F44" s="8">
        <f t="shared" si="8"/>
        <v>0.1375</v>
      </c>
      <c r="G44" s="7">
        <v>-1.74</v>
      </c>
      <c r="H44" s="8">
        <f t="shared" si="9"/>
        <v>0.002886751346</v>
      </c>
      <c r="I44" s="8"/>
    </row>
    <row r="45">
      <c r="A45" s="7">
        <v>322.0</v>
      </c>
      <c r="B45" s="7">
        <v>15.8</v>
      </c>
      <c r="C45" s="7">
        <v>340.0</v>
      </c>
      <c r="D45" s="8">
        <f t="shared" si="7"/>
        <v>18</v>
      </c>
      <c r="E45" s="7">
        <v>1.5</v>
      </c>
      <c r="F45" s="8">
        <f t="shared" si="8"/>
        <v>0.1375</v>
      </c>
      <c r="G45" s="7">
        <v>-1.78</v>
      </c>
      <c r="H45" s="8">
        <f t="shared" si="9"/>
        <v>0.002886751346</v>
      </c>
      <c r="I45" s="8"/>
    </row>
    <row r="46">
      <c r="A46" s="7">
        <v>322.0</v>
      </c>
      <c r="B46" s="7">
        <v>15.8</v>
      </c>
      <c r="C46" s="7">
        <v>350.0</v>
      </c>
      <c r="D46" s="8">
        <f t="shared" si="7"/>
        <v>28</v>
      </c>
      <c r="E46" s="7">
        <v>1.5</v>
      </c>
      <c r="F46" s="8">
        <f t="shared" si="8"/>
        <v>0.1375</v>
      </c>
      <c r="G46" s="7">
        <v>-1.81</v>
      </c>
      <c r="H46" s="8">
        <f t="shared" si="9"/>
        <v>0.002886751346</v>
      </c>
      <c r="I46" s="8"/>
    </row>
    <row r="47">
      <c r="A47" s="7">
        <v>322.0</v>
      </c>
      <c r="B47" s="7">
        <v>15.8</v>
      </c>
      <c r="C47" s="7">
        <v>360.0</v>
      </c>
      <c r="D47" s="8">
        <f t="shared" si="7"/>
        <v>38</v>
      </c>
      <c r="E47" s="7">
        <v>1.5</v>
      </c>
      <c r="F47" s="8">
        <f t="shared" si="8"/>
        <v>0.1375</v>
      </c>
      <c r="G47" s="7">
        <v>-1.88</v>
      </c>
      <c r="H47" s="8">
        <f t="shared" si="9"/>
        <v>0.002886751346</v>
      </c>
      <c r="I47" s="8"/>
    </row>
    <row r="48">
      <c r="A48" s="7">
        <v>322.0</v>
      </c>
      <c r="B48" s="7">
        <v>15.8</v>
      </c>
      <c r="C48" s="7">
        <v>370.0</v>
      </c>
      <c r="D48" s="8">
        <f t="shared" si="7"/>
        <v>48</v>
      </c>
      <c r="E48" s="7">
        <v>1.5</v>
      </c>
      <c r="F48" s="8">
        <f t="shared" si="8"/>
        <v>0.1375</v>
      </c>
      <c r="G48" s="7">
        <v>-1.95</v>
      </c>
      <c r="H48" s="8">
        <f t="shared" si="9"/>
        <v>0.002886751346</v>
      </c>
      <c r="I48" s="8"/>
    </row>
    <row r="49">
      <c r="A49" s="7">
        <v>322.0</v>
      </c>
      <c r="B49" s="7">
        <v>15.8</v>
      </c>
      <c r="C49" s="7">
        <v>380.0</v>
      </c>
      <c r="D49" s="8">
        <f t="shared" si="7"/>
        <v>58</v>
      </c>
      <c r="E49" s="7">
        <v>1.5</v>
      </c>
      <c r="F49" s="8">
        <f t="shared" si="8"/>
        <v>0.1375</v>
      </c>
      <c r="G49" s="7">
        <v>-1.99</v>
      </c>
      <c r="H49" s="8">
        <f t="shared" si="9"/>
        <v>0.002886751346</v>
      </c>
      <c r="I49" s="8"/>
    </row>
    <row r="50">
      <c r="A50" s="7">
        <v>322.0</v>
      </c>
      <c r="B50" s="7">
        <v>15.8</v>
      </c>
      <c r="C50" s="7">
        <v>390.0</v>
      </c>
      <c r="D50" s="8">
        <f t="shared" si="7"/>
        <v>68</v>
      </c>
      <c r="E50" s="7">
        <v>1.5</v>
      </c>
      <c r="F50" s="8">
        <f t="shared" si="8"/>
        <v>0.1375</v>
      </c>
      <c r="G50" s="7">
        <v>-2.01</v>
      </c>
      <c r="H50" s="8">
        <f t="shared" si="9"/>
        <v>0.002886751346</v>
      </c>
      <c r="I50" s="8"/>
    </row>
    <row r="51">
      <c r="A51" s="7">
        <v>322.0</v>
      </c>
      <c r="B51" s="7">
        <v>15.8</v>
      </c>
      <c r="C51" s="7">
        <v>400.0</v>
      </c>
      <c r="D51" s="8">
        <f t="shared" si="7"/>
        <v>78</v>
      </c>
      <c r="E51" s="7">
        <v>1.5</v>
      </c>
      <c r="F51" s="8">
        <f t="shared" si="8"/>
        <v>0.1375</v>
      </c>
      <c r="G51" s="7">
        <v>-2.02</v>
      </c>
      <c r="H51" s="8">
        <f t="shared" si="9"/>
        <v>0.002886751346</v>
      </c>
      <c r="I51" s="8"/>
    </row>
    <row r="52">
      <c r="A52" s="7">
        <v>322.0</v>
      </c>
      <c r="B52" s="7">
        <v>15.8</v>
      </c>
      <c r="C52" s="7">
        <v>410.0</v>
      </c>
      <c r="D52" s="8">
        <f t="shared" si="7"/>
        <v>88</v>
      </c>
      <c r="E52" s="7">
        <v>1.5</v>
      </c>
      <c r="F52" s="8">
        <f t="shared" si="8"/>
        <v>0.1375</v>
      </c>
      <c r="G52" s="7">
        <v>-1.93</v>
      </c>
      <c r="H52" s="8">
        <f t="shared" si="9"/>
        <v>0.002886751346</v>
      </c>
      <c r="I52" s="8"/>
    </row>
    <row r="53">
      <c r="A53" s="7">
        <v>322.0</v>
      </c>
      <c r="B53" s="7">
        <v>15.8</v>
      </c>
      <c r="C53" s="7">
        <v>420.0</v>
      </c>
      <c r="D53" s="8">
        <f t="shared" si="7"/>
        <v>98</v>
      </c>
      <c r="E53" s="7">
        <v>1.5</v>
      </c>
      <c r="F53" s="8">
        <f t="shared" si="8"/>
        <v>0.1375</v>
      </c>
      <c r="G53" s="7">
        <v>-1.84</v>
      </c>
      <c r="H53" s="8">
        <f t="shared" si="9"/>
        <v>0.002886751346</v>
      </c>
      <c r="I53" s="8"/>
    </row>
    <row r="54">
      <c r="A54" s="7">
        <v>322.0</v>
      </c>
      <c r="B54" s="7">
        <v>15.8</v>
      </c>
      <c r="C54" s="7">
        <v>430.0</v>
      </c>
      <c r="D54" s="8">
        <f t="shared" si="7"/>
        <v>108</v>
      </c>
      <c r="E54" s="7">
        <v>1.5</v>
      </c>
      <c r="F54" s="8">
        <f t="shared" si="8"/>
        <v>0.1375</v>
      </c>
      <c r="G54" s="7">
        <v>-1.72</v>
      </c>
      <c r="H54" s="8">
        <f t="shared" si="9"/>
        <v>0.002886751346</v>
      </c>
      <c r="I54" s="8"/>
    </row>
    <row r="55">
      <c r="A55" s="7">
        <v>322.0</v>
      </c>
      <c r="B55" s="7">
        <v>15.8</v>
      </c>
      <c r="C55" s="7">
        <v>440.0</v>
      </c>
      <c r="D55" s="8">
        <f t="shared" si="7"/>
        <v>118</v>
      </c>
      <c r="E55" s="7">
        <v>1.5</v>
      </c>
      <c r="F55" s="8">
        <f t="shared" si="8"/>
        <v>0.1375</v>
      </c>
      <c r="G55" s="7">
        <v>-1.57</v>
      </c>
      <c r="H55" s="8">
        <f t="shared" si="9"/>
        <v>0.002886751346</v>
      </c>
      <c r="I55" s="8"/>
    </row>
    <row r="56">
      <c r="A56" s="7">
        <v>322.0</v>
      </c>
      <c r="B56" s="7">
        <v>15.8</v>
      </c>
      <c r="C56" s="7">
        <v>450.0</v>
      </c>
      <c r="D56" s="8">
        <f t="shared" si="7"/>
        <v>128</v>
      </c>
      <c r="E56" s="7">
        <v>1.5</v>
      </c>
      <c r="F56" s="8">
        <f t="shared" si="8"/>
        <v>0.1375</v>
      </c>
      <c r="G56" s="7">
        <v>-1.4</v>
      </c>
      <c r="H56" s="8">
        <f t="shared" si="9"/>
        <v>0.002886751346</v>
      </c>
      <c r="I56" s="8"/>
    </row>
    <row r="57">
      <c r="A57" s="7">
        <v>322.0</v>
      </c>
      <c r="B57" s="7">
        <v>15.8</v>
      </c>
      <c r="C57" s="7">
        <v>460.0</v>
      </c>
      <c r="D57" s="8">
        <f t="shared" si="7"/>
        <v>138</v>
      </c>
      <c r="E57" s="7">
        <v>1.5</v>
      </c>
      <c r="F57" s="8">
        <f t="shared" si="8"/>
        <v>0.1375</v>
      </c>
      <c r="G57" s="7">
        <v>-1.25</v>
      </c>
      <c r="H57" s="8">
        <f t="shared" si="9"/>
        <v>0.002886751346</v>
      </c>
      <c r="I5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25</v>
      </c>
      <c r="B1" s="3" t="s">
        <v>26</v>
      </c>
      <c r="C1" s="3" t="s">
        <v>27</v>
      </c>
      <c r="D1" s="3" t="s">
        <v>28</v>
      </c>
      <c r="E1" s="3" t="s">
        <v>9</v>
      </c>
      <c r="F1" s="3" t="s">
        <v>10</v>
      </c>
      <c r="G1" s="3" t="s">
        <v>29</v>
      </c>
      <c r="H1" s="3" t="s">
        <v>12</v>
      </c>
      <c r="I1" s="3" t="s">
        <v>30</v>
      </c>
      <c r="K1" s="1" t="s">
        <v>29</v>
      </c>
      <c r="L1" s="1" t="s">
        <v>32</v>
      </c>
    </row>
    <row r="2">
      <c r="A2" s="3">
        <v>296.0</v>
      </c>
      <c r="B2" s="3">
        <v>10.5</v>
      </c>
      <c r="C2" s="3">
        <v>294.0</v>
      </c>
      <c r="D2" s="4">
        <f t="shared" ref="D2:D34" si="1">-$A$6+C2</f>
        <v>-2</v>
      </c>
      <c r="E2" s="3">
        <v>1.5</v>
      </c>
      <c r="F2" s="4">
        <f t="shared" ref="F2:F34" si="2">E2*(2.5/100)+0.1</f>
        <v>0.1375</v>
      </c>
      <c r="G2" s="3">
        <v>0.02</v>
      </c>
      <c r="H2" s="4">
        <f t="shared" ref="H2:H34" si="3">0.01/SQRT(12)</f>
        <v>0.002886751346</v>
      </c>
      <c r="I2" s="4"/>
      <c r="K2" s="2">
        <f t="shared" ref="K2:K17" si="4">G2</f>
        <v>0.02</v>
      </c>
      <c r="L2" s="2">
        <f t="shared" ref="L2:L17" si="5">D2</f>
        <v>-2</v>
      </c>
    </row>
    <row r="3">
      <c r="A3" s="3">
        <v>296.0</v>
      </c>
      <c r="B3" s="3">
        <v>10.5</v>
      </c>
      <c r="C3" s="3">
        <v>300.0</v>
      </c>
      <c r="D3" s="4">
        <f t="shared" si="1"/>
        <v>4</v>
      </c>
      <c r="E3" s="3">
        <v>1.5</v>
      </c>
      <c r="F3" s="4">
        <f t="shared" si="2"/>
        <v>0.1375</v>
      </c>
      <c r="G3" s="3">
        <v>0.12</v>
      </c>
      <c r="H3" s="4">
        <f t="shared" si="3"/>
        <v>0.002886751346</v>
      </c>
      <c r="I3" s="4"/>
      <c r="K3" s="2">
        <f t="shared" si="4"/>
        <v>0.12</v>
      </c>
      <c r="L3" s="2">
        <f t="shared" si="5"/>
        <v>4</v>
      </c>
    </row>
    <row r="4">
      <c r="A4" s="3">
        <v>296.0</v>
      </c>
      <c r="B4" s="3">
        <v>10.5</v>
      </c>
      <c r="C4" s="3">
        <v>310.0</v>
      </c>
      <c r="D4" s="4">
        <f t="shared" si="1"/>
        <v>14</v>
      </c>
      <c r="E4" s="3">
        <v>1.5</v>
      </c>
      <c r="F4" s="4">
        <f t="shared" si="2"/>
        <v>0.1375</v>
      </c>
      <c r="G4" s="3">
        <v>0.4</v>
      </c>
      <c r="H4" s="4">
        <f t="shared" si="3"/>
        <v>0.002886751346</v>
      </c>
      <c r="I4" s="4"/>
      <c r="K4" s="2">
        <f t="shared" si="4"/>
        <v>0.4</v>
      </c>
      <c r="L4" s="2">
        <f t="shared" si="5"/>
        <v>14</v>
      </c>
    </row>
    <row r="5">
      <c r="A5" s="3">
        <v>296.0</v>
      </c>
      <c r="B5" s="3">
        <v>10.5</v>
      </c>
      <c r="C5" s="3">
        <v>320.0</v>
      </c>
      <c r="D5" s="4">
        <f t="shared" si="1"/>
        <v>24</v>
      </c>
      <c r="E5" s="3">
        <v>1.5</v>
      </c>
      <c r="F5" s="4">
        <f t="shared" si="2"/>
        <v>0.1375</v>
      </c>
      <c r="G5" s="3">
        <v>0.65</v>
      </c>
      <c r="H5" s="4">
        <f t="shared" si="3"/>
        <v>0.002886751346</v>
      </c>
      <c r="I5" s="4"/>
      <c r="K5" s="2">
        <f t="shared" si="4"/>
        <v>0.65</v>
      </c>
      <c r="L5" s="2">
        <f t="shared" si="5"/>
        <v>24</v>
      </c>
    </row>
    <row r="6">
      <c r="A6" s="3">
        <v>296.0</v>
      </c>
      <c r="B6" s="3">
        <v>10.5</v>
      </c>
      <c r="C6" s="3">
        <v>330.0</v>
      </c>
      <c r="D6" s="4">
        <f t="shared" si="1"/>
        <v>34</v>
      </c>
      <c r="E6" s="3">
        <v>1.49</v>
      </c>
      <c r="F6" s="4">
        <f t="shared" si="2"/>
        <v>0.13725</v>
      </c>
      <c r="G6" s="3">
        <v>0.89</v>
      </c>
      <c r="H6" s="4">
        <f t="shared" si="3"/>
        <v>0.002886751346</v>
      </c>
      <c r="I6" s="4"/>
      <c r="K6" s="2">
        <f t="shared" si="4"/>
        <v>0.89</v>
      </c>
      <c r="L6" s="2">
        <f t="shared" si="5"/>
        <v>34</v>
      </c>
    </row>
    <row r="7">
      <c r="A7" s="3">
        <v>296.0</v>
      </c>
      <c r="B7" s="3">
        <v>10.5</v>
      </c>
      <c r="C7" s="3">
        <v>340.0</v>
      </c>
      <c r="D7" s="4">
        <f t="shared" si="1"/>
        <v>44</v>
      </c>
      <c r="E7" s="3">
        <v>1.49</v>
      </c>
      <c r="F7" s="4">
        <f t="shared" si="2"/>
        <v>0.13725</v>
      </c>
      <c r="G7" s="3">
        <v>1.03</v>
      </c>
      <c r="H7" s="4">
        <f t="shared" si="3"/>
        <v>0.002886751346</v>
      </c>
      <c r="I7" s="4"/>
      <c r="K7" s="2">
        <f t="shared" si="4"/>
        <v>1.03</v>
      </c>
      <c r="L7" s="2">
        <f t="shared" si="5"/>
        <v>44</v>
      </c>
    </row>
    <row r="8">
      <c r="A8" s="3">
        <v>296.0</v>
      </c>
      <c r="B8" s="3">
        <v>10.5</v>
      </c>
      <c r="C8" s="3">
        <v>350.0</v>
      </c>
      <c r="D8" s="4">
        <f t="shared" si="1"/>
        <v>54</v>
      </c>
      <c r="E8" s="3">
        <v>1.49</v>
      </c>
      <c r="F8" s="4">
        <f t="shared" si="2"/>
        <v>0.13725</v>
      </c>
      <c r="G8" s="3">
        <v>1.15</v>
      </c>
      <c r="H8" s="4">
        <f t="shared" si="3"/>
        <v>0.002886751346</v>
      </c>
      <c r="I8" s="4"/>
      <c r="K8" s="2">
        <f t="shared" si="4"/>
        <v>1.15</v>
      </c>
      <c r="L8" s="2">
        <f t="shared" si="5"/>
        <v>54</v>
      </c>
    </row>
    <row r="9">
      <c r="A9" s="3">
        <v>296.0</v>
      </c>
      <c r="B9" s="3">
        <v>10.5</v>
      </c>
      <c r="C9" s="3">
        <v>360.0</v>
      </c>
      <c r="D9" s="4">
        <f t="shared" si="1"/>
        <v>64</v>
      </c>
      <c r="E9" s="3">
        <v>1.49</v>
      </c>
      <c r="F9" s="4">
        <f t="shared" si="2"/>
        <v>0.13725</v>
      </c>
      <c r="G9" s="3">
        <v>1.19</v>
      </c>
      <c r="H9" s="4">
        <f t="shared" si="3"/>
        <v>0.002886751346</v>
      </c>
      <c r="I9" s="4"/>
      <c r="K9" s="2">
        <f t="shared" si="4"/>
        <v>1.19</v>
      </c>
      <c r="L9" s="2">
        <f t="shared" si="5"/>
        <v>64</v>
      </c>
    </row>
    <row r="10">
      <c r="A10" s="3">
        <v>296.0</v>
      </c>
      <c r="B10" s="3">
        <v>10.5</v>
      </c>
      <c r="C10" s="3">
        <v>370.0</v>
      </c>
      <c r="D10" s="4">
        <f t="shared" si="1"/>
        <v>74</v>
      </c>
      <c r="E10" s="3">
        <v>1.49</v>
      </c>
      <c r="F10" s="4">
        <f t="shared" si="2"/>
        <v>0.13725</v>
      </c>
      <c r="G10" s="3">
        <v>1.17</v>
      </c>
      <c r="H10" s="4">
        <f t="shared" si="3"/>
        <v>0.002886751346</v>
      </c>
      <c r="I10" s="4"/>
      <c r="K10" s="2">
        <f t="shared" si="4"/>
        <v>1.17</v>
      </c>
      <c r="L10" s="2">
        <f t="shared" si="5"/>
        <v>74</v>
      </c>
    </row>
    <row r="11">
      <c r="A11" s="3">
        <v>296.0</v>
      </c>
      <c r="B11" s="3">
        <v>10.5</v>
      </c>
      <c r="C11" s="3">
        <v>380.0</v>
      </c>
      <c r="D11" s="4">
        <f t="shared" si="1"/>
        <v>84</v>
      </c>
      <c r="E11" s="3">
        <v>1.49</v>
      </c>
      <c r="F11" s="4">
        <f t="shared" si="2"/>
        <v>0.13725</v>
      </c>
      <c r="G11" s="3">
        <v>1.11</v>
      </c>
      <c r="H11" s="4">
        <f t="shared" si="3"/>
        <v>0.002886751346</v>
      </c>
      <c r="I11" s="4"/>
      <c r="K11" s="2">
        <f t="shared" si="4"/>
        <v>1.11</v>
      </c>
      <c r="L11" s="2">
        <f t="shared" si="5"/>
        <v>84</v>
      </c>
    </row>
    <row r="12">
      <c r="A12" s="3">
        <v>296.0</v>
      </c>
      <c r="B12" s="3">
        <v>10.5</v>
      </c>
      <c r="C12" s="3">
        <v>390.0</v>
      </c>
      <c r="D12" s="4">
        <f t="shared" si="1"/>
        <v>94</v>
      </c>
      <c r="E12" s="3">
        <v>1.5</v>
      </c>
      <c r="F12" s="4">
        <f t="shared" si="2"/>
        <v>0.1375</v>
      </c>
      <c r="G12" s="3">
        <v>1.05</v>
      </c>
      <c r="H12" s="4">
        <f t="shared" si="3"/>
        <v>0.002886751346</v>
      </c>
      <c r="I12" s="4"/>
      <c r="K12" s="2">
        <f t="shared" si="4"/>
        <v>1.05</v>
      </c>
      <c r="L12" s="2">
        <f t="shared" si="5"/>
        <v>94</v>
      </c>
    </row>
    <row r="13">
      <c r="A13" s="3">
        <v>296.0</v>
      </c>
      <c r="B13" s="3">
        <v>10.5</v>
      </c>
      <c r="C13" s="3">
        <v>400.0</v>
      </c>
      <c r="D13" s="4">
        <f t="shared" si="1"/>
        <v>104</v>
      </c>
      <c r="E13" s="3">
        <v>1.5</v>
      </c>
      <c r="F13" s="4">
        <f t="shared" si="2"/>
        <v>0.1375</v>
      </c>
      <c r="G13" s="3">
        <v>0.95</v>
      </c>
      <c r="H13" s="4">
        <f t="shared" si="3"/>
        <v>0.002886751346</v>
      </c>
      <c r="I13" s="4"/>
      <c r="K13" s="2">
        <f t="shared" si="4"/>
        <v>0.95</v>
      </c>
      <c r="L13" s="2">
        <f t="shared" si="5"/>
        <v>104</v>
      </c>
    </row>
    <row r="14">
      <c r="A14" s="3">
        <v>296.0</v>
      </c>
      <c r="B14" s="3">
        <v>10.5</v>
      </c>
      <c r="C14" s="3">
        <v>410.0</v>
      </c>
      <c r="D14" s="4">
        <f t="shared" si="1"/>
        <v>114</v>
      </c>
      <c r="E14" s="3">
        <v>1.5</v>
      </c>
      <c r="F14" s="4">
        <f t="shared" si="2"/>
        <v>0.1375</v>
      </c>
      <c r="G14" s="3">
        <v>0.84</v>
      </c>
      <c r="H14" s="4">
        <f t="shared" si="3"/>
        <v>0.002886751346</v>
      </c>
      <c r="I14" s="4"/>
      <c r="K14" s="2">
        <f t="shared" si="4"/>
        <v>0.84</v>
      </c>
      <c r="L14" s="2">
        <f t="shared" si="5"/>
        <v>114</v>
      </c>
    </row>
    <row r="15">
      <c r="A15" s="3">
        <v>296.0</v>
      </c>
      <c r="B15" s="3">
        <v>10.5</v>
      </c>
      <c r="C15" s="3">
        <v>420.0</v>
      </c>
      <c r="D15" s="4">
        <f t="shared" si="1"/>
        <v>124</v>
      </c>
      <c r="E15" s="3">
        <v>1.5</v>
      </c>
      <c r="F15" s="4">
        <f t="shared" si="2"/>
        <v>0.1375</v>
      </c>
      <c r="G15" s="3">
        <v>0.75</v>
      </c>
      <c r="H15" s="4">
        <f t="shared" si="3"/>
        <v>0.002886751346</v>
      </c>
      <c r="I15" s="4"/>
      <c r="K15" s="2">
        <f t="shared" si="4"/>
        <v>0.75</v>
      </c>
      <c r="L15" s="2">
        <f t="shared" si="5"/>
        <v>124</v>
      </c>
    </row>
    <row r="16">
      <c r="A16" s="3">
        <v>296.0</v>
      </c>
      <c r="B16" s="3">
        <v>10.5</v>
      </c>
      <c r="C16" s="3">
        <v>430.0</v>
      </c>
      <c r="D16" s="4">
        <f t="shared" si="1"/>
        <v>134</v>
      </c>
      <c r="E16" s="3">
        <v>1.49</v>
      </c>
      <c r="F16" s="4">
        <f t="shared" si="2"/>
        <v>0.13725</v>
      </c>
      <c r="G16" s="3">
        <v>0.65</v>
      </c>
      <c r="H16" s="4">
        <f t="shared" si="3"/>
        <v>0.002886751346</v>
      </c>
      <c r="I16" s="4"/>
      <c r="K16" s="2">
        <f t="shared" si="4"/>
        <v>0.65</v>
      </c>
      <c r="L16" s="2">
        <f t="shared" si="5"/>
        <v>134</v>
      </c>
    </row>
    <row r="17">
      <c r="A17" s="3">
        <v>296.0</v>
      </c>
      <c r="B17" s="3">
        <v>10.5</v>
      </c>
      <c r="C17" s="3">
        <v>440.0</v>
      </c>
      <c r="D17" s="4">
        <f t="shared" si="1"/>
        <v>144</v>
      </c>
      <c r="E17" s="3">
        <v>1.49</v>
      </c>
      <c r="F17" s="4">
        <f t="shared" si="2"/>
        <v>0.13725</v>
      </c>
      <c r="G17" s="3">
        <v>0.58</v>
      </c>
      <c r="H17" s="4">
        <f t="shared" si="3"/>
        <v>0.002886751346</v>
      </c>
      <c r="I17" s="4"/>
      <c r="K17" s="2">
        <f t="shared" si="4"/>
        <v>0.58</v>
      </c>
      <c r="L17" s="2">
        <f t="shared" si="5"/>
        <v>144</v>
      </c>
    </row>
    <row r="18">
      <c r="A18" s="9">
        <v>296.0</v>
      </c>
      <c r="B18" s="9">
        <v>10.5</v>
      </c>
      <c r="C18" s="9">
        <v>290.0</v>
      </c>
      <c r="D18" s="10">
        <f t="shared" si="1"/>
        <v>-6</v>
      </c>
      <c r="E18" s="9">
        <v>1.5</v>
      </c>
      <c r="F18" s="10">
        <f t="shared" si="2"/>
        <v>0.1375</v>
      </c>
      <c r="G18" s="9">
        <v>-0.15</v>
      </c>
      <c r="H18" s="10">
        <f t="shared" si="3"/>
        <v>0.002886751346</v>
      </c>
      <c r="I18" s="10"/>
      <c r="J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">
        <v>296.0</v>
      </c>
      <c r="B19" s="3">
        <v>10.5</v>
      </c>
      <c r="C19" s="3">
        <v>280.0</v>
      </c>
      <c r="D19" s="4">
        <f t="shared" si="1"/>
        <v>-16</v>
      </c>
      <c r="E19" s="3">
        <v>1.49</v>
      </c>
      <c r="F19" s="4">
        <f t="shared" si="2"/>
        <v>0.13725</v>
      </c>
      <c r="G19" s="3">
        <v>-0.15</v>
      </c>
      <c r="H19" s="4">
        <f t="shared" si="3"/>
        <v>0.002886751346</v>
      </c>
      <c r="I19" s="4"/>
      <c r="K19" s="2">
        <f t="shared" ref="K19:K34" si="6">G19</f>
        <v>-0.15</v>
      </c>
      <c r="L19" s="2">
        <f t="shared" ref="L19:L34" si="7">D19</f>
        <v>-16</v>
      </c>
    </row>
    <row r="20">
      <c r="A20" s="3">
        <v>296.0</v>
      </c>
      <c r="B20" s="3">
        <v>10.5</v>
      </c>
      <c r="C20" s="3">
        <v>270.0</v>
      </c>
      <c r="D20" s="4">
        <f t="shared" si="1"/>
        <v>-26</v>
      </c>
      <c r="E20" s="3">
        <v>1.49</v>
      </c>
      <c r="F20" s="4">
        <f t="shared" si="2"/>
        <v>0.13725</v>
      </c>
      <c r="G20" s="3">
        <v>-0.42</v>
      </c>
      <c r="H20" s="4">
        <f t="shared" si="3"/>
        <v>0.002886751346</v>
      </c>
      <c r="I20" s="4"/>
      <c r="K20" s="2">
        <f t="shared" si="6"/>
        <v>-0.42</v>
      </c>
      <c r="L20" s="2">
        <f t="shared" si="7"/>
        <v>-26</v>
      </c>
    </row>
    <row r="21">
      <c r="A21" s="3">
        <v>296.0</v>
      </c>
      <c r="B21" s="3">
        <v>10.5</v>
      </c>
      <c r="C21" s="3">
        <v>260.0</v>
      </c>
      <c r="D21" s="4">
        <f t="shared" si="1"/>
        <v>-36</v>
      </c>
      <c r="E21" s="3">
        <v>1.49</v>
      </c>
      <c r="F21" s="4">
        <f t="shared" si="2"/>
        <v>0.13725</v>
      </c>
      <c r="G21" s="3">
        <v>-0.66</v>
      </c>
      <c r="H21" s="4">
        <f t="shared" si="3"/>
        <v>0.002886751346</v>
      </c>
      <c r="I21" s="4"/>
      <c r="K21" s="2">
        <f t="shared" si="6"/>
        <v>-0.66</v>
      </c>
      <c r="L21" s="2">
        <f t="shared" si="7"/>
        <v>-36</v>
      </c>
    </row>
    <row r="22">
      <c r="A22" s="3">
        <v>296.0</v>
      </c>
      <c r="B22" s="3">
        <v>10.5</v>
      </c>
      <c r="C22" s="3">
        <v>250.0</v>
      </c>
      <c r="D22" s="4">
        <f t="shared" si="1"/>
        <v>-46</v>
      </c>
      <c r="E22" s="3">
        <v>1.49</v>
      </c>
      <c r="F22" s="4">
        <f t="shared" si="2"/>
        <v>0.13725</v>
      </c>
      <c r="G22" s="3">
        <v>-0.86</v>
      </c>
      <c r="H22" s="4">
        <f t="shared" si="3"/>
        <v>0.002886751346</v>
      </c>
      <c r="I22" s="4"/>
      <c r="K22" s="2">
        <f t="shared" si="6"/>
        <v>-0.86</v>
      </c>
      <c r="L22" s="2">
        <f t="shared" si="7"/>
        <v>-46</v>
      </c>
    </row>
    <row r="23">
      <c r="A23" s="3">
        <v>296.0</v>
      </c>
      <c r="B23" s="3">
        <v>10.5</v>
      </c>
      <c r="C23" s="3">
        <v>240.0</v>
      </c>
      <c r="D23" s="4">
        <f t="shared" si="1"/>
        <v>-56</v>
      </c>
      <c r="E23" s="3">
        <v>1.5</v>
      </c>
      <c r="F23" s="4">
        <f t="shared" si="2"/>
        <v>0.1375</v>
      </c>
      <c r="G23" s="3">
        <v>-1.05</v>
      </c>
      <c r="H23" s="4">
        <f t="shared" si="3"/>
        <v>0.002886751346</v>
      </c>
      <c r="I23" s="4"/>
      <c r="K23" s="2">
        <f t="shared" si="6"/>
        <v>-1.05</v>
      </c>
      <c r="L23" s="2">
        <f t="shared" si="7"/>
        <v>-56</v>
      </c>
    </row>
    <row r="24">
      <c r="A24" s="3">
        <v>296.0</v>
      </c>
      <c r="B24" s="3">
        <v>10.5</v>
      </c>
      <c r="C24" s="3">
        <v>230.0</v>
      </c>
      <c r="D24" s="4">
        <f t="shared" si="1"/>
        <v>-66</v>
      </c>
      <c r="E24" s="3">
        <v>1.49</v>
      </c>
      <c r="F24" s="4">
        <f t="shared" si="2"/>
        <v>0.13725</v>
      </c>
      <c r="G24" s="3">
        <v>-1.14</v>
      </c>
      <c r="H24" s="4">
        <f t="shared" si="3"/>
        <v>0.002886751346</v>
      </c>
      <c r="I24" s="4"/>
      <c r="K24" s="2">
        <f t="shared" si="6"/>
        <v>-1.14</v>
      </c>
      <c r="L24" s="2">
        <f t="shared" si="7"/>
        <v>-66</v>
      </c>
    </row>
    <row r="25">
      <c r="A25" s="3">
        <v>296.0</v>
      </c>
      <c r="B25" s="3">
        <v>10.5</v>
      </c>
      <c r="C25" s="3">
        <v>220.0</v>
      </c>
      <c r="D25" s="4">
        <f t="shared" si="1"/>
        <v>-76</v>
      </c>
      <c r="E25" s="3">
        <v>1.49</v>
      </c>
      <c r="F25" s="4">
        <f t="shared" si="2"/>
        <v>0.13725</v>
      </c>
      <c r="G25" s="3">
        <v>-1.15</v>
      </c>
      <c r="H25" s="4">
        <f t="shared" si="3"/>
        <v>0.002886751346</v>
      </c>
      <c r="I25" s="4"/>
      <c r="K25" s="2">
        <f t="shared" si="6"/>
        <v>-1.15</v>
      </c>
      <c r="L25" s="2">
        <f t="shared" si="7"/>
        <v>-76</v>
      </c>
    </row>
    <row r="26">
      <c r="A26" s="3">
        <v>296.0</v>
      </c>
      <c r="B26" s="3">
        <v>10.5</v>
      </c>
      <c r="C26" s="3">
        <v>210.0</v>
      </c>
      <c r="D26" s="4">
        <f t="shared" si="1"/>
        <v>-86</v>
      </c>
      <c r="E26" s="3">
        <v>1.5</v>
      </c>
      <c r="F26" s="4">
        <f t="shared" si="2"/>
        <v>0.1375</v>
      </c>
      <c r="G26" s="3">
        <v>-1.1</v>
      </c>
      <c r="H26" s="4">
        <f t="shared" si="3"/>
        <v>0.002886751346</v>
      </c>
      <c r="I26" s="4"/>
      <c r="K26" s="2">
        <f t="shared" si="6"/>
        <v>-1.1</v>
      </c>
      <c r="L26" s="2">
        <f t="shared" si="7"/>
        <v>-86</v>
      </c>
    </row>
    <row r="27">
      <c r="A27" s="3">
        <v>296.0</v>
      </c>
      <c r="B27" s="3">
        <v>10.5</v>
      </c>
      <c r="C27" s="3">
        <v>200.0</v>
      </c>
      <c r="D27" s="4">
        <f t="shared" si="1"/>
        <v>-96</v>
      </c>
      <c r="E27" s="3">
        <v>1.5</v>
      </c>
      <c r="F27" s="4">
        <f t="shared" si="2"/>
        <v>0.1375</v>
      </c>
      <c r="G27" s="3">
        <v>-0.99</v>
      </c>
      <c r="H27" s="4">
        <f t="shared" si="3"/>
        <v>0.002886751346</v>
      </c>
      <c r="I27" s="4"/>
      <c r="K27" s="2">
        <f t="shared" si="6"/>
        <v>-0.99</v>
      </c>
      <c r="L27" s="2">
        <f t="shared" si="7"/>
        <v>-96</v>
      </c>
    </row>
    <row r="28">
      <c r="A28" s="3">
        <v>296.0</v>
      </c>
      <c r="B28" s="3">
        <v>10.5</v>
      </c>
      <c r="C28" s="3">
        <v>190.0</v>
      </c>
      <c r="D28" s="4">
        <f t="shared" si="1"/>
        <v>-106</v>
      </c>
      <c r="E28" s="3">
        <v>1.5</v>
      </c>
      <c r="F28" s="4">
        <f t="shared" si="2"/>
        <v>0.1375</v>
      </c>
      <c r="G28" s="3">
        <v>-0.91</v>
      </c>
      <c r="H28" s="4">
        <f t="shared" si="3"/>
        <v>0.002886751346</v>
      </c>
      <c r="I28" s="4"/>
      <c r="K28" s="2">
        <f t="shared" si="6"/>
        <v>-0.91</v>
      </c>
      <c r="L28" s="2">
        <f t="shared" si="7"/>
        <v>-106</v>
      </c>
    </row>
    <row r="29">
      <c r="A29" s="3">
        <v>296.0</v>
      </c>
      <c r="B29" s="3">
        <v>10.5</v>
      </c>
      <c r="C29" s="3">
        <v>180.0</v>
      </c>
      <c r="D29" s="4">
        <f t="shared" si="1"/>
        <v>-116</v>
      </c>
      <c r="E29" s="3">
        <v>1.5</v>
      </c>
      <c r="F29" s="4">
        <f t="shared" si="2"/>
        <v>0.1375</v>
      </c>
      <c r="G29" s="3">
        <v>-0.78</v>
      </c>
      <c r="H29" s="4">
        <f t="shared" si="3"/>
        <v>0.002886751346</v>
      </c>
      <c r="I29" s="4"/>
      <c r="K29" s="2">
        <f t="shared" si="6"/>
        <v>-0.78</v>
      </c>
      <c r="L29" s="2">
        <f t="shared" si="7"/>
        <v>-116</v>
      </c>
    </row>
    <row r="30">
      <c r="A30" s="3">
        <v>296.0</v>
      </c>
      <c r="B30" s="3">
        <v>10.5</v>
      </c>
      <c r="C30" s="3">
        <v>170.0</v>
      </c>
      <c r="D30" s="4">
        <f t="shared" si="1"/>
        <v>-126</v>
      </c>
      <c r="E30" s="3">
        <v>1.5</v>
      </c>
      <c r="F30" s="4">
        <f t="shared" si="2"/>
        <v>0.1375</v>
      </c>
      <c r="G30" s="3">
        <v>-0.7</v>
      </c>
      <c r="H30" s="4">
        <f t="shared" si="3"/>
        <v>0.002886751346</v>
      </c>
      <c r="I30" s="4"/>
      <c r="K30" s="2">
        <f t="shared" si="6"/>
        <v>-0.7</v>
      </c>
      <c r="L30" s="2">
        <f t="shared" si="7"/>
        <v>-126</v>
      </c>
    </row>
    <row r="31">
      <c r="A31" s="3">
        <v>296.0</v>
      </c>
      <c r="B31" s="3">
        <v>10.5</v>
      </c>
      <c r="C31" s="3">
        <v>160.0</v>
      </c>
      <c r="D31" s="4">
        <f t="shared" si="1"/>
        <v>-136</v>
      </c>
      <c r="E31" s="3">
        <v>1.5</v>
      </c>
      <c r="F31" s="4">
        <f t="shared" si="2"/>
        <v>0.1375</v>
      </c>
      <c r="G31" s="3">
        <v>-0.6</v>
      </c>
      <c r="H31" s="4">
        <f t="shared" si="3"/>
        <v>0.002886751346</v>
      </c>
      <c r="I31" s="4"/>
      <c r="K31" s="2">
        <f t="shared" si="6"/>
        <v>-0.6</v>
      </c>
      <c r="L31" s="2">
        <f t="shared" si="7"/>
        <v>-136</v>
      </c>
    </row>
    <row r="32">
      <c r="A32" s="3">
        <v>296.0</v>
      </c>
      <c r="B32" s="3">
        <v>10.5</v>
      </c>
      <c r="C32" s="3">
        <v>150.0</v>
      </c>
      <c r="D32" s="4">
        <f t="shared" si="1"/>
        <v>-146</v>
      </c>
      <c r="E32" s="3">
        <v>1.5</v>
      </c>
      <c r="F32" s="4">
        <f t="shared" si="2"/>
        <v>0.1375</v>
      </c>
      <c r="G32" s="3">
        <v>-0.51</v>
      </c>
      <c r="H32" s="4">
        <f t="shared" si="3"/>
        <v>0.002886751346</v>
      </c>
      <c r="I32" s="4"/>
      <c r="K32" s="2">
        <f t="shared" si="6"/>
        <v>-0.51</v>
      </c>
      <c r="L32" s="2">
        <f t="shared" si="7"/>
        <v>-146</v>
      </c>
    </row>
    <row r="33">
      <c r="A33" s="3">
        <v>296.0</v>
      </c>
      <c r="B33" s="3">
        <v>10.5</v>
      </c>
      <c r="C33" s="3">
        <v>140.0</v>
      </c>
      <c r="D33" s="4">
        <f t="shared" si="1"/>
        <v>-156</v>
      </c>
      <c r="E33" s="3">
        <v>1.5</v>
      </c>
      <c r="F33" s="4">
        <f t="shared" si="2"/>
        <v>0.1375</v>
      </c>
      <c r="G33" s="3">
        <v>-0.43</v>
      </c>
      <c r="H33" s="4">
        <f t="shared" si="3"/>
        <v>0.002886751346</v>
      </c>
      <c r="I33" s="4"/>
      <c r="K33" s="2">
        <f t="shared" si="6"/>
        <v>-0.43</v>
      </c>
      <c r="L33" s="2">
        <f t="shared" si="7"/>
        <v>-156</v>
      </c>
    </row>
    <row r="34">
      <c r="A34" s="3">
        <v>296.0</v>
      </c>
      <c r="B34" s="3">
        <v>10.5</v>
      </c>
      <c r="C34" s="3">
        <v>130.0</v>
      </c>
      <c r="D34" s="4">
        <f t="shared" si="1"/>
        <v>-166</v>
      </c>
      <c r="E34" s="3">
        <v>1.5</v>
      </c>
      <c r="F34" s="4">
        <f t="shared" si="2"/>
        <v>0.1375</v>
      </c>
      <c r="G34" s="3">
        <v>-0.37</v>
      </c>
      <c r="H34" s="4">
        <f t="shared" si="3"/>
        <v>0.002886751346</v>
      </c>
      <c r="I34" s="4"/>
      <c r="K34" s="2">
        <f t="shared" si="6"/>
        <v>-0.37</v>
      </c>
      <c r="L34" s="2">
        <f t="shared" si="7"/>
        <v>-166</v>
      </c>
    </row>
  </sheetData>
  <drawing r:id="rId1"/>
</worksheet>
</file>