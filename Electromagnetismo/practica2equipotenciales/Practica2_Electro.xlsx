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stencia" sheetId="1" r:id="rId5"/>
    <sheet state="visible" name="circulo" sheetId="2" r:id="rId6"/>
    <sheet state="visible" name="Hoja 3" sheetId="3" r:id="rId7"/>
    <sheet state="visible" name="Hoja 4" sheetId="4" r:id="rId8"/>
  </sheets>
  <definedNames/>
  <calcPr/>
</workbook>
</file>

<file path=xl/sharedStrings.xml><?xml version="1.0" encoding="utf-8"?>
<sst xmlns="http://schemas.openxmlformats.org/spreadsheetml/2006/main" count="62" uniqueCount="38">
  <si>
    <t>en metros o rad</t>
  </si>
  <si>
    <t>R_a (k ohm)</t>
  </si>
  <si>
    <t>err R_a</t>
  </si>
  <si>
    <t>R_b</t>
  </si>
  <si>
    <t>err R_b</t>
  </si>
  <si>
    <t>R_c</t>
  </si>
  <si>
    <t>err R_c</t>
  </si>
  <si>
    <t>conduct_a</t>
  </si>
  <si>
    <t>conduct_b</t>
  </si>
  <si>
    <t>conduct_c</t>
  </si>
  <si>
    <t>e</t>
  </si>
  <si>
    <t>a</t>
  </si>
  <si>
    <t>b</t>
  </si>
  <si>
    <t>c</t>
  </si>
  <si>
    <t>d</t>
  </si>
  <si>
    <t>f</t>
  </si>
  <si>
    <t>angulo</t>
  </si>
  <si>
    <t>R_a* conduct (1/(rad*m))</t>
  </si>
  <si>
    <t>R_b*conduct</t>
  </si>
  <si>
    <t>R_c*conduct</t>
  </si>
  <si>
    <t>d (cm)</t>
  </si>
  <si>
    <t>err d</t>
  </si>
  <si>
    <t>V (V)</t>
  </si>
  <si>
    <t>err V</t>
  </si>
  <si>
    <t>V</t>
  </si>
  <si>
    <t>ln(d)</t>
  </si>
  <si>
    <t>EJE +X</t>
  </si>
  <si>
    <t>EJE -Y</t>
  </si>
  <si>
    <t>EJE -X</t>
  </si>
  <si>
    <t>factor</t>
  </si>
  <si>
    <t>EJE +Y</t>
  </si>
  <si>
    <t>CUADRANTE 1</t>
  </si>
  <si>
    <t>CUADRANTE 2</t>
  </si>
  <si>
    <t>CUADRANTE 3</t>
  </si>
  <si>
    <t>CUADRANTE 4</t>
  </si>
  <si>
    <t>&lt;</t>
  </si>
  <si>
    <t>^</t>
  </si>
  <si>
    <t>deltaV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</si>
</sst>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1" fillId="0" fontId="1" numFmtId="164" xfId="0" applyAlignment="1" applyBorder="1" applyFont="1" applyNumberFormat="1">
      <alignment readingOrder="0"/>
    </xf>
    <xf borderId="0" fillId="0" fontId="1" numFmtId="0" xfId="0" applyFont="1"/>
    <xf borderId="1" fillId="0" fontId="1" numFmtId="0" xfId="0" applyBorder="1" applyFont="1"/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5" fontId="1" numFmtId="0" xfId="0" applyFont="1"/>
    <xf borderId="0" fillId="4" fontId="1" numFmtId="0" xfId="0" applyFont="1"/>
    <xf borderId="0" fillId="3" fontId="1" numFmtId="0" xfId="0" applyFont="1"/>
    <xf borderId="0" fillId="7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ln(d) frente a V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circulo!$G$1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circulo!$H$2:$H$53</c:f>
            </c:numRef>
          </c:xVal>
          <c:yVal>
            <c:numRef>
              <c:f>circulo!$G$2:$G$53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023655"/>
        <c:axId val="1802278253"/>
      </c:scatterChart>
      <c:valAx>
        <c:axId val="8650236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ln(d)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2278253"/>
      </c:valAx>
      <c:valAx>
        <c:axId val="18022782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50236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619125</xdr:colOff>
      <xdr:row>24</xdr:row>
      <xdr:rowOff>123825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9.5"/>
    <col customWidth="1" min="4" max="4" width="19.5"/>
  </cols>
  <sheetData>
    <row r="2">
      <c r="B2" s="1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K2" s="2" t="s">
        <v>7</v>
      </c>
      <c r="M2" s="2" t="s">
        <v>8</v>
      </c>
      <c r="O2" s="2" t="s">
        <v>9</v>
      </c>
    </row>
    <row r="3">
      <c r="A3" s="3" t="s">
        <v>10</v>
      </c>
      <c r="B3" s="4">
        <v>1.3E-4</v>
      </c>
      <c r="D3" s="2">
        <v>13.17</v>
      </c>
      <c r="F3" s="2">
        <v>7.89</v>
      </c>
      <c r="H3" s="2">
        <v>4.79</v>
      </c>
      <c r="K3" s="5">
        <f t="shared" ref="K3:K12" si="1">$B$12/D3</f>
        <v>871.65808</v>
      </c>
      <c r="M3" s="5">
        <f t="shared" ref="M3:M12" si="2">$B$14/F3</f>
        <v>974.9439407</v>
      </c>
      <c r="O3" s="5">
        <f t="shared" ref="O3:O12" si="3">$B$16/H3</f>
        <v>843.7830879</v>
      </c>
    </row>
    <row r="4">
      <c r="A4" s="3" t="s">
        <v>11</v>
      </c>
      <c r="B4" s="1">
        <v>0.02</v>
      </c>
      <c r="D4" s="2">
        <v>13.17</v>
      </c>
      <c r="F4" s="2">
        <v>7.88</v>
      </c>
      <c r="H4" s="2">
        <v>4.79</v>
      </c>
      <c r="K4" s="5">
        <f t="shared" si="1"/>
        <v>871.65808</v>
      </c>
      <c r="M4" s="5">
        <f t="shared" si="2"/>
        <v>976.1811792</v>
      </c>
      <c r="O4" s="5">
        <f t="shared" si="3"/>
        <v>843.7830879</v>
      </c>
    </row>
    <row r="5">
      <c r="A5" s="3" t="s">
        <v>12</v>
      </c>
      <c r="B5" s="1">
        <v>0.086</v>
      </c>
      <c r="D5" s="2">
        <v>13.17</v>
      </c>
      <c r="F5" s="2">
        <v>7.88</v>
      </c>
      <c r="H5" s="2">
        <v>4.8</v>
      </c>
      <c r="K5" s="5">
        <f t="shared" si="1"/>
        <v>871.65808</v>
      </c>
      <c r="M5" s="5">
        <f t="shared" si="2"/>
        <v>976.1811792</v>
      </c>
      <c r="O5" s="5">
        <f t="shared" si="3"/>
        <v>842.0252064</v>
      </c>
    </row>
    <row r="6">
      <c r="A6" s="3" t="s">
        <v>13</v>
      </c>
      <c r="B6" s="1">
        <v>0.09</v>
      </c>
      <c r="D6" s="2">
        <v>13.19</v>
      </c>
      <c r="F6" s="2">
        <v>7.88</v>
      </c>
      <c r="H6" s="2">
        <v>4.78</v>
      </c>
      <c r="K6" s="5">
        <f t="shared" si="1"/>
        <v>870.3363847</v>
      </c>
      <c r="M6" s="5">
        <f t="shared" si="2"/>
        <v>976.1811792</v>
      </c>
      <c r="O6" s="5">
        <f t="shared" si="3"/>
        <v>845.5483245</v>
      </c>
    </row>
    <row r="7">
      <c r="A7" s="3" t="s">
        <v>14</v>
      </c>
      <c r="B7" s="1">
        <v>0.118</v>
      </c>
      <c r="D7" s="2">
        <v>13.17</v>
      </c>
      <c r="F7" s="2">
        <v>7.88</v>
      </c>
      <c r="H7" s="2">
        <v>4.79</v>
      </c>
      <c r="K7" s="5">
        <f t="shared" si="1"/>
        <v>871.65808</v>
      </c>
      <c r="M7" s="5">
        <f t="shared" si="2"/>
        <v>976.1811792</v>
      </c>
      <c r="O7" s="5">
        <f t="shared" si="3"/>
        <v>843.7830879</v>
      </c>
    </row>
    <row r="8">
      <c r="A8" s="3" t="s">
        <v>15</v>
      </c>
      <c r="B8" s="1">
        <v>0.062</v>
      </c>
      <c r="D8" s="2">
        <v>13.17</v>
      </c>
      <c r="F8" s="2">
        <v>7.88</v>
      </c>
      <c r="H8" s="2">
        <v>4.79</v>
      </c>
      <c r="K8" s="5">
        <f t="shared" si="1"/>
        <v>871.65808</v>
      </c>
      <c r="M8" s="5">
        <f t="shared" si="2"/>
        <v>976.1811792</v>
      </c>
      <c r="O8" s="5">
        <f t="shared" si="3"/>
        <v>843.7830879</v>
      </c>
    </row>
    <row r="9">
      <c r="A9" s="3" t="s">
        <v>16</v>
      </c>
      <c r="B9" s="6">
        <f>56*PI()/180</f>
        <v>0.9773843811</v>
      </c>
      <c r="D9" s="2">
        <v>13.19</v>
      </c>
      <c r="F9" s="2">
        <v>7.88</v>
      </c>
      <c r="H9" s="2">
        <v>4.79</v>
      </c>
      <c r="K9" s="5">
        <f t="shared" si="1"/>
        <v>870.3363847</v>
      </c>
      <c r="M9" s="5">
        <f t="shared" si="2"/>
        <v>976.1811792</v>
      </c>
      <c r="O9" s="5">
        <f t="shared" si="3"/>
        <v>843.7830879</v>
      </c>
    </row>
    <row r="10">
      <c r="D10" s="2">
        <v>13.16</v>
      </c>
      <c r="F10" s="2">
        <v>7.88</v>
      </c>
      <c r="H10" s="2">
        <v>4.78</v>
      </c>
      <c r="K10" s="5">
        <f t="shared" si="1"/>
        <v>872.3204342</v>
      </c>
      <c r="M10" s="5">
        <f t="shared" si="2"/>
        <v>976.1811792</v>
      </c>
      <c r="O10" s="5">
        <f t="shared" si="3"/>
        <v>845.5483245</v>
      </c>
    </row>
    <row r="11">
      <c r="B11" s="1" t="s">
        <v>17</v>
      </c>
      <c r="D11" s="2">
        <v>13.16</v>
      </c>
      <c r="F11" s="2">
        <v>7.87</v>
      </c>
      <c r="H11" s="2">
        <v>4.78</v>
      </c>
      <c r="K11" s="5">
        <f t="shared" si="1"/>
        <v>872.3204342</v>
      </c>
      <c r="M11" s="5">
        <f t="shared" si="2"/>
        <v>977.4215619</v>
      </c>
      <c r="O11" s="5">
        <f t="shared" si="3"/>
        <v>845.5483245</v>
      </c>
    </row>
    <row r="12">
      <c r="B12" s="6">
        <f>ln(B5/B4)/(B9*B3)</f>
        <v>11479.73691</v>
      </c>
      <c r="D12" s="2">
        <v>13.04</v>
      </c>
      <c r="F12" s="2">
        <v>7.82</v>
      </c>
      <c r="H12" s="2">
        <v>4.77</v>
      </c>
      <c r="K12" s="5">
        <f t="shared" si="1"/>
        <v>880.3479229</v>
      </c>
      <c r="M12" s="5">
        <f t="shared" si="2"/>
        <v>983.6710604</v>
      </c>
      <c r="O12" s="5">
        <f t="shared" si="3"/>
        <v>847.3209624</v>
      </c>
    </row>
    <row r="13">
      <c r="B13" s="1" t="s">
        <v>18</v>
      </c>
    </row>
    <row r="14">
      <c r="B14" s="6">
        <f>1/(B3)</f>
        <v>7692.307692</v>
      </c>
    </row>
    <row r="15">
      <c r="B15" s="1" t="s">
        <v>19</v>
      </c>
    </row>
    <row r="16">
      <c r="B16" s="6">
        <f>B8/(B3*B7)</f>
        <v>4041.720991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" t="s">
        <v>20</v>
      </c>
      <c r="C1" s="2" t="s">
        <v>21</v>
      </c>
      <c r="D1" s="2" t="s">
        <v>22</v>
      </c>
      <c r="E1" s="2" t="s">
        <v>23</v>
      </c>
      <c r="G1" s="2" t="s">
        <v>24</v>
      </c>
      <c r="H1" s="2" t="s">
        <v>25</v>
      </c>
    </row>
    <row r="2">
      <c r="B2" s="2">
        <v>9.0</v>
      </c>
      <c r="D2" s="2">
        <v>19.81</v>
      </c>
      <c r="G2" s="5">
        <f t="shared" ref="G2:G53" si="1">D2</f>
        <v>19.81</v>
      </c>
      <c r="H2" s="5">
        <f t="shared" ref="H2:H53" si="2">LN(B2)</f>
        <v>2.197224577</v>
      </c>
    </row>
    <row r="3">
      <c r="A3" s="7" t="s">
        <v>26</v>
      </c>
      <c r="B3" s="2">
        <v>2.0</v>
      </c>
      <c r="D3" s="2">
        <v>6.96</v>
      </c>
      <c r="G3" s="5">
        <f t="shared" si="1"/>
        <v>6.96</v>
      </c>
      <c r="H3" s="5">
        <f t="shared" si="2"/>
        <v>0.6931471806</v>
      </c>
    </row>
    <row r="4">
      <c r="B4" s="2">
        <v>3.0</v>
      </c>
      <c r="D4" s="2">
        <v>10.91</v>
      </c>
      <c r="G4" s="5">
        <f t="shared" si="1"/>
        <v>10.91</v>
      </c>
      <c r="H4" s="5">
        <f t="shared" si="2"/>
        <v>1.098612289</v>
      </c>
    </row>
    <row r="5">
      <c r="B5" s="2">
        <v>4.0</v>
      </c>
      <c r="D5" s="2">
        <v>13.26</v>
      </c>
      <c r="G5" s="5">
        <f t="shared" si="1"/>
        <v>13.26</v>
      </c>
      <c r="H5" s="5">
        <f t="shared" si="2"/>
        <v>1.386294361</v>
      </c>
    </row>
    <row r="6">
      <c r="B6" s="2">
        <v>5.0</v>
      </c>
      <c r="D6" s="2">
        <v>15.1</v>
      </c>
      <c r="G6" s="5">
        <f t="shared" si="1"/>
        <v>15.1</v>
      </c>
      <c r="H6" s="5">
        <f t="shared" si="2"/>
        <v>1.609437912</v>
      </c>
    </row>
    <row r="7">
      <c r="B7" s="2">
        <v>6.0</v>
      </c>
      <c r="D7" s="2">
        <v>16.52</v>
      </c>
      <c r="G7" s="5">
        <f t="shared" si="1"/>
        <v>16.52</v>
      </c>
      <c r="H7" s="5">
        <f t="shared" si="2"/>
        <v>1.791759469</v>
      </c>
    </row>
    <row r="8">
      <c r="B8" s="2">
        <v>7.0</v>
      </c>
      <c r="D8" s="2">
        <v>17.39</v>
      </c>
      <c r="G8" s="5">
        <f t="shared" si="1"/>
        <v>17.39</v>
      </c>
      <c r="H8" s="5">
        <f t="shared" si="2"/>
        <v>1.945910149</v>
      </c>
    </row>
    <row r="9">
      <c r="B9" s="2">
        <v>8.0</v>
      </c>
      <c r="D9" s="2">
        <v>18.52</v>
      </c>
      <c r="G9" s="5">
        <f t="shared" si="1"/>
        <v>18.52</v>
      </c>
      <c r="H9" s="5">
        <f t="shared" si="2"/>
        <v>2.079441542</v>
      </c>
    </row>
    <row r="10">
      <c r="B10" s="2">
        <v>9.0</v>
      </c>
      <c r="D10" s="2">
        <v>19.77</v>
      </c>
      <c r="G10" s="5">
        <f t="shared" si="1"/>
        <v>19.77</v>
      </c>
      <c r="H10" s="5">
        <f t="shared" si="2"/>
        <v>2.197224577</v>
      </c>
    </row>
    <row r="11">
      <c r="A11" s="8" t="s">
        <v>27</v>
      </c>
      <c r="B11" s="2">
        <v>2.0</v>
      </c>
      <c r="D11" s="2">
        <v>6.43</v>
      </c>
      <c r="G11" s="5">
        <f t="shared" si="1"/>
        <v>6.43</v>
      </c>
      <c r="H11" s="5">
        <f t="shared" si="2"/>
        <v>0.6931471806</v>
      </c>
    </row>
    <row r="12">
      <c r="B12" s="2">
        <v>3.0</v>
      </c>
      <c r="D12" s="2">
        <v>9.99</v>
      </c>
      <c r="G12" s="5">
        <f t="shared" si="1"/>
        <v>9.99</v>
      </c>
      <c r="H12" s="5">
        <f t="shared" si="2"/>
        <v>1.098612289</v>
      </c>
    </row>
    <row r="13">
      <c r="B13" s="2">
        <v>4.0</v>
      </c>
      <c r="D13" s="2">
        <v>12.5</v>
      </c>
      <c r="G13" s="5">
        <f t="shared" si="1"/>
        <v>12.5</v>
      </c>
      <c r="H13" s="5">
        <f t="shared" si="2"/>
        <v>1.386294361</v>
      </c>
    </row>
    <row r="14">
      <c r="B14" s="2">
        <v>5.0</v>
      </c>
      <c r="D14" s="2">
        <v>14.7</v>
      </c>
      <c r="G14" s="5">
        <f t="shared" si="1"/>
        <v>14.7</v>
      </c>
      <c r="H14" s="5">
        <f t="shared" si="2"/>
        <v>1.609437912</v>
      </c>
    </row>
    <row r="15">
      <c r="B15" s="2">
        <v>6.0</v>
      </c>
      <c r="D15" s="2">
        <v>16.03</v>
      </c>
      <c r="G15" s="5">
        <f t="shared" si="1"/>
        <v>16.03</v>
      </c>
      <c r="H15" s="5">
        <f t="shared" si="2"/>
        <v>1.791759469</v>
      </c>
    </row>
    <row r="16">
      <c r="B16" s="2">
        <v>7.0</v>
      </c>
      <c r="D16" s="2">
        <v>17.39</v>
      </c>
      <c r="G16" s="5">
        <f t="shared" si="1"/>
        <v>17.39</v>
      </c>
      <c r="H16" s="5">
        <f t="shared" si="2"/>
        <v>1.945910149</v>
      </c>
    </row>
    <row r="17">
      <c r="B17" s="2">
        <v>8.0</v>
      </c>
      <c r="D17" s="2">
        <v>18.61</v>
      </c>
      <c r="G17" s="5">
        <f t="shared" si="1"/>
        <v>18.61</v>
      </c>
      <c r="H17" s="5">
        <f t="shared" si="2"/>
        <v>2.079441542</v>
      </c>
    </row>
    <row r="18">
      <c r="B18" s="2">
        <v>9.0</v>
      </c>
      <c r="D18" s="2">
        <v>19.25</v>
      </c>
      <c r="G18" s="5">
        <f t="shared" si="1"/>
        <v>19.25</v>
      </c>
      <c r="H18" s="5">
        <f t="shared" si="2"/>
        <v>2.197224577</v>
      </c>
    </row>
    <row r="19">
      <c r="A19" s="9" t="s">
        <v>28</v>
      </c>
      <c r="B19" s="2">
        <v>2.0</v>
      </c>
      <c r="D19" s="2">
        <v>6.59</v>
      </c>
      <c r="G19" s="5">
        <f t="shared" si="1"/>
        <v>6.59</v>
      </c>
      <c r="H19" s="5">
        <f t="shared" si="2"/>
        <v>0.6931471806</v>
      </c>
    </row>
    <row r="20">
      <c r="B20" s="2">
        <v>3.0</v>
      </c>
      <c r="D20" s="2">
        <v>10.83</v>
      </c>
      <c r="G20" s="5">
        <f t="shared" si="1"/>
        <v>10.83</v>
      </c>
      <c r="H20" s="5">
        <f t="shared" si="2"/>
        <v>1.098612289</v>
      </c>
      <c r="K20" s="2" t="s">
        <v>29</v>
      </c>
    </row>
    <row r="21">
      <c r="B21" s="2">
        <v>4.0</v>
      </c>
      <c r="D21" s="2">
        <v>13.14</v>
      </c>
      <c r="G21" s="5">
        <f t="shared" si="1"/>
        <v>13.14</v>
      </c>
      <c r="H21" s="5">
        <f t="shared" si="2"/>
        <v>1.386294361</v>
      </c>
      <c r="K21" s="5">
        <f>D2/ln(B2)</f>
        <v>9.01591954</v>
      </c>
    </row>
    <row r="22">
      <c r="B22" s="2">
        <v>5.0</v>
      </c>
      <c r="D22" s="2">
        <v>15.12</v>
      </c>
      <c r="G22" s="5">
        <f t="shared" si="1"/>
        <v>15.12</v>
      </c>
      <c r="H22" s="5">
        <f t="shared" si="2"/>
        <v>1.609437912</v>
      </c>
      <c r="K22" s="5">
        <f>D26/ln(9)</f>
        <v>8.997714755</v>
      </c>
    </row>
    <row r="23">
      <c r="B23" s="2">
        <v>6.0</v>
      </c>
      <c r="D23" s="2">
        <v>16.56</v>
      </c>
      <c r="G23" s="5">
        <f t="shared" si="1"/>
        <v>16.56</v>
      </c>
      <c r="H23" s="5">
        <f t="shared" si="2"/>
        <v>1.791759469</v>
      </c>
      <c r="K23" s="5">
        <f>D18/ln(9)</f>
        <v>8.761052556</v>
      </c>
    </row>
    <row r="24">
      <c r="B24" s="2">
        <v>7.0</v>
      </c>
      <c r="D24" s="2">
        <v>17.75</v>
      </c>
      <c r="G24" s="5">
        <f t="shared" si="1"/>
        <v>17.75</v>
      </c>
      <c r="H24" s="5">
        <f t="shared" si="2"/>
        <v>1.945910149</v>
      </c>
    </row>
    <row r="25">
      <c r="B25" s="2">
        <v>8.0</v>
      </c>
      <c r="D25" s="2">
        <v>18.92</v>
      </c>
      <c r="G25" s="5">
        <f t="shared" si="1"/>
        <v>18.92</v>
      </c>
      <c r="H25" s="5">
        <f t="shared" si="2"/>
        <v>2.079441542</v>
      </c>
    </row>
    <row r="26">
      <c r="B26" s="2">
        <v>9.0</v>
      </c>
      <c r="D26" s="2">
        <v>19.77</v>
      </c>
      <c r="G26" s="5">
        <f t="shared" si="1"/>
        <v>19.77</v>
      </c>
      <c r="H26" s="5">
        <f t="shared" si="2"/>
        <v>2.197224577</v>
      </c>
    </row>
    <row r="27">
      <c r="A27" s="10" t="s">
        <v>30</v>
      </c>
      <c r="B27" s="2">
        <v>2.0</v>
      </c>
      <c r="D27" s="2">
        <v>5.94</v>
      </c>
      <c r="G27" s="5">
        <f t="shared" si="1"/>
        <v>5.94</v>
      </c>
      <c r="H27" s="5">
        <f t="shared" si="2"/>
        <v>0.6931471806</v>
      </c>
    </row>
    <row r="28">
      <c r="B28" s="2">
        <v>3.0</v>
      </c>
      <c r="D28" s="2">
        <v>10.09</v>
      </c>
      <c r="G28" s="5">
        <f t="shared" si="1"/>
        <v>10.09</v>
      </c>
      <c r="H28" s="5">
        <f t="shared" si="2"/>
        <v>1.098612289</v>
      </c>
    </row>
    <row r="29">
      <c r="B29" s="2">
        <v>4.0</v>
      </c>
      <c r="D29" s="2">
        <v>12.51</v>
      </c>
      <c r="G29" s="5">
        <f t="shared" si="1"/>
        <v>12.51</v>
      </c>
      <c r="H29" s="5">
        <f t="shared" si="2"/>
        <v>1.386294361</v>
      </c>
    </row>
    <row r="30">
      <c r="B30" s="2">
        <v>5.0</v>
      </c>
      <c r="D30" s="2">
        <v>14.58</v>
      </c>
      <c r="G30" s="5">
        <f t="shared" si="1"/>
        <v>14.58</v>
      </c>
      <c r="H30" s="5">
        <f t="shared" si="2"/>
        <v>1.609437912</v>
      </c>
    </row>
    <row r="31">
      <c r="B31" s="2">
        <v>6.0</v>
      </c>
      <c r="D31" s="2">
        <v>16.2</v>
      </c>
      <c r="G31" s="5">
        <f t="shared" si="1"/>
        <v>16.2</v>
      </c>
      <c r="H31" s="5">
        <f t="shared" si="2"/>
        <v>1.791759469</v>
      </c>
    </row>
    <row r="32">
      <c r="B32" s="2">
        <v>7.0</v>
      </c>
      <c r="D32" s="2">
        <v>17.54</v>
      </c>
      <c r="G32" s="5">
        <f t="shared" si="1"/>
        <v>17.54</v>
      </c>
      <c r="H32" s="5">
        <f t="shared" si="2"/>
        <v>1.945910149</v>
      </c>
    </row>
    <row r="33">
      <c r="B33" s="2">
        <v>8.0</v>
      </c>
      <c r="D33" s="2">
        <v>18.75</v>
      </c>
      <c r="G33" s="5">
        <f t="shared" si="1"/>
        <v>18.75</v>
      </c>
      <c r="H33" s="5">
        <f t="shared" si="2"/>
        <v>2.079441542</v>
      </c>
    </row>
    <row r="34">
      <c r="B34" s="2">
        <v>9.0</v>
      </c>
      <c r="D34" s="2">
        <v>19.77</v>
      </c>
      <c r="G34" s="5">
        <f t="shared" si="1"/>
        <v>19.77</v>
      </c>
      <c r="H34" s="5">
        <f t="shared" si="2"/>
        <v>2.197224577</v>
      </c>
    </row>
    <row r="35">
      <c r="A35" s="11"/>
      <c r="B35" s="5">
        <f>sqrt(2)</f>
        <v>1.414213562</v>
      </c>
      <c r="D35" s="2">
        <v>2.85</v>
      </c>
      <c r="G35" s="5">
        <f t="shared" si="1"/>
        <v>2.85</v>
      </c>
      <c r="H35" s="5">
        <f t="shared" si="2"/>
        <v>0.3465735903</v>
      </c>
    </row>
    <row r="36">
      <c r="A36" s="11"/>
      <c r="B36" s="5">
        <f>SQRT(2)*2</f>
        <v>2.828427125</v>
      </c>
      <c r="D36" s="2">
        <v>9.6</v>
      </c>
      <c r="G36" s="5">
        <f t="shared" si="1"/>
        <v>9.6</v>
      </c>
      <c r="H36" s="5">
        <f t="shared" si="2"/>
        <v>1.039720771</v>
      </c>
    </row>
    <row r="37">
      <c r="A37" s="11"/>
      <c r="B37" s="5">
        <f>SQRT(2)*3</f>
        <v>4.242640687</v>
      </c>
      <c r="D37" s="2">
        <v>13.24</v>
      </c>
      <c r="G37" s="5">
        <f t="shared" si="1"/>
        <v>13.24</v>
      </c>
      <c r="H37" s="5">
        <f t="shared" si="2"/>
        <v>1.445185879</v>
      </c>
    </row>
    <row r="38">
      <c r="A38" s="11"/>
      <c r="B38" s="5">
        <f>SQRT(2)*4</f>
        <v>5.656854249</v>
      </c>
      <c r="D38" s="2">
        <v>15.76</v>
      </c>
      <c r="G38" s="5">
        <f t="shared" si="1"/>
        <v>15.76</v>
      </c>
      <c r="H38" s="5">
        <f t="shared" si="2"/>
        <v>1.732867951</v>
      </c>
    </row>
    <row r="39">
      <c r="A39" s="11"/>
      <c r="B39" s="5">
        <f>SQRT(2)*5</f>
        <v>7.071067812</v>
      </c>
      <c r="D39" s="2">
        <v>17.66</v>
      </c>
      <c r="G39" s="5">
        <f t="shared" si="1"/>
        <v>17.66</v>
      </c>
      <c r="H39" s="5">
        <f t="shared" si="2"/>
        <v>1.956011503</v>
      </c>
    </row>
    <row r="40">
      <c r="A40" s="9" t="s">
        <v>31</v>
      </c>
      <c r="B40" s="5">
        <f>SQRT(2)*6</f>
        <v>8.485281374</v>
      </c>
      <c r="D40" s="2">
        <v>19.22</v>
      </c>
      <c r="G40" s="5">
        <f t="shared" si="1"/>
        <v>19.22</v>
      </c>
      <c r="H40" s="5">
        <f t="shared" si="2"/>
        <v>2.13833306</v>
      </c>
    </row>
    <row r="41">
      <c r="A41" s="12"/>
      <c r="B41" s="5">
        <f>sqrt(2)</f>
        <v>1.414213562</v>
      </c>
      <c r="D41" s="2">
        <v>2.99</v>
      </c>
      <c r="G41" s="5">
        <f t="shared" si="1"/>
        <v>2.99</v>
      </c>
      <c r="H41" s="5">
        <f t="shared" si="2"/>
        <v>0.3465735903</v>
      </c>
    </row>
    <row r="42">
      <c r="A42" s="12"/>
      <c r="B42" s="5">
        <f>SQRT(2)*2</f>
        <v>2.828427125</v>
      </c>
      <c r="D42" s="2">
        <v>9.58</v>
      </c>
      <c r="G42" s="5">
        <f t="shared" si="1"/>
        <v>9.58</v>
      </c>
      <c r="H42" s="5">
        <f t="shared" si="2"/>
        <v>1.039720771</v>
      </c>
    </row>
    <row r="43">
      <c r="A43" s="12"/>
      <c r="B43" s="5">
        <f>SQRT(2)*3</f>
        <v>4.242640687</v>
      </c>
      <c r="D43" s="2">
        <v>13.37</v>
      </c>
      <c r="G43" s="5">
        <f t="shared" si="1"/>
        <v>13.37</v>
      </c>
      <c r="H43" s="5">
        <f t="shared" si="2"/>
        <v>1.445185879</v>
      </c>
    </row>
    <row r="44">
      <c r="A44" s="12"/>
      <c r="B44" s="5">
        <f>SQRT(2)*4</f>
        <v>5.656854249</v>
      </c>
      <c r="D44" s="2">
        <v>15.81</v>
      </c>
      <c r="G44" s="5">
        <f t="shared" si="1"/>
        <v>15.81</v>
      </c>
      <c r="H44" s="5">
        <f t="shared" si="2"/>
        <v>1.732867951</v>
      </c>
    </row>
    <row r="45">
      <c r="A45" s="12"/>
      <c r="B45" s="5">
        <f>SQRT(2)*5</f>
        <v>7.071067812</v>
      </c>
      <c r="D45" s="2">
        <v>17.71</v>
      </c>
      <c r="G45" s="5">
        <f t="shared" si="1"/>
        <v>17.71</v>
      </c>
      <c r="H45" s="5">
        <f t="shared" si="2"/>
        <v>1.956011503</v>
      </c>
    </row>
    <row r="46">
      <c r="A46" s="8" t="s">
        <v>32</v>
      </c>
      <c r="B46" s="5">
        <f>SQRT(2)*6</f>
        <v>8.485281374</v>
      </c>
      <c r="D46" s="2">
        <v>19.23</v>
      </c>
      <c r="G46" s="5">
        <f t="shared" si="1"/>
        <v>19.23</v>
      </c>
      <c r="H46" s="5">
        <f t="shared" si="2"/>
        <v>2.13833306</v>
      </c>
    </row>
    <row r="47">
      <c r="A47" s="13"/>
      <c r="B47" s="5">
        <f>sqrt(2)</f>
        <v>1.414213562</v>
      </c>
      <c r="D47" s="2">
        <v>2.7</v>
      </c>
      <c r="G47" s="5">
        <f t="shared" si="1"/>
        <v>2.7</v>
      </c>
      <c r="H47" s="5">
        <f t="shared" si="2"/>
        <v>0.3465735903</v>
      </c>
    </row>
    <row r="48">
      <c r="A48" s="13"/>
      <c r="B48" s="5">
        <f>SQRT(2)*2</f>
        <v>2.828427125</v>
      </c>
      <c r="D48" s="2">
        <v>9.19</v>
      </c>
      <c r="G48" s="5">
        <f t="shared" si="1"/>
        <v>9.19</v>
      </c>
      <c r="H48" s="5">
        <f t="shared" si="2"/>
        <v>1.039720771</v>
      </c>
    </row>
    <row r="49">
      <c r="A49" s="13"/>
      <c r="B49" s="5">
        <f>SQRT(2)*3</f>
        <v>4.242640687</v>
      </c>
      <c r="D49" s="2">
        <v>13.23</v>
      </c>
      <c r="G49" s="5">
        <f t="shared" si="1"/>
        <v>13.23</v>
      </c>
      <c r="H49" s="5">
        <f t="shared" si="2"/>
        <v>1.445185879</v>
      </c>
    </row>
    <row r="50">
      <c r="A50" s="13"/>
      <c r="B50" s="5">
        <f>SQRT(2)*4</f>
        <v>5.656854249</v>
      </c>
      <c r="D50" s="2">
        <v>16.02</v>
      </c>
      <c r="G50" s="5">
        <f t="shared" si="1"/>
        <v>16.02</v>
      </c>
      <c r="H50" s="5">
        <f t="shared" si="2"/>
        <v>1.732867951</v>
      </c>
    </row>
    <row r="51">
      <c r="A51" s="13"/>
      <c r="B51" s="5">
        <f>SQRT(2)*5</f>
        <v>7.071067812</v>
      </c>
      <c r="D51" s="2">
        <v>17.91</v>
      </c>
      <c r="G51" s="5">
        <f t="shared" si="1"/>
        <v>17.91</v>
      </c>
      <c r="H51" s="5">
        <f t="shared" si="2"/>
        <v>1.956011503</v>
      </c>
    </row>
    <row r="52">
      <c r="A52" s="7" t="s">
        <v>33</v>
      </c>
      <c r="B52" s="5">
        <f>SQRT(2)*6</f>
        <v>8.485281374</v>
      </c>
      <c r="D52" s="2">
        <v>19.37</v>
      </c>
      <c r="G52" s="5">
        <f t="shared" si="1"/>
        <v>19.37</v>
      </c>
      <c r="H52" s="5">
        <f t="shared" si="2"/>
        <v>2.13833306</v>
      </c>
    </row>
    <row r="53">
      <c r="A53" s="12"/>
      <c r="B53" s="5">
        <f>sqrt(2)</f>
        <v>1.414213562</v>
      </c>
      <c r="D53" s="2">
        <v>2.62</v>
      </c>
      <c r="G53" s="5">
        <f t="shared" si="1"/>
        <v>2.62</v>
      </c>
      <c r="H53" s="5">
        <f t="shared" si="2"/>
        <v>0.3465735903</v>
      </c>
    </row>
    <row r="54">
      <c r="A54" s="12"/>
      <c r="B54" s="5">
        <f>SQRT(2)*2</f>
        <v>2.828427125</v>
      </c>
      <c r="D54" s="2">
        <v>9.61</v>
      </c>
    </row>
    <row r="55">
      <c r="A55" s="12"/>
      <c r="B55" s="5">
        <f>SQRT(2)*3</f>
        <v>4.242640687</v>
      </c>
      <c r="D55" s="2">
        <v>13.29</v>
      </c>
    </row>
    <row r="56">
      <c r="A56" s="12"/>
      <c r="B56" s="5">
        <f>SQRT(2)*4</f>
        <v>5.656854249</v>
      </c>
      <c r="D56" s="2">
        <v>15.55</v>
      </c>
    </row>
    <row r="57">
      <c r="A57" s="12"/>
      <c r="B57" s="5">
        <f>SQRT(2)*5</f>
        <v>7.071067812</v>
      </c>
      <c r="D57" s="2">
        <v>17.38</v>
      </c>
    </row>
    <row r="58">
      <c r="A58" s="8" t="s">
        <v>34</v>
      </c>
      <c r="B58" s="5">
        <f>SQRT(2)*6</f>
        <v>8.485281374</v>
      </c>
      <c r="D58" s="2">
        <v>18.97</v>
      </c>
    </row>
  </sheetData>
  <mergeCells count="4">
    <mergeCell ref="A3:A10"/>
    <mergeCell ref="A11:A18"/>
    <mergeCell ref="A19:A26"/>
    <mergeCell ref="A27:A3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v>5.12</v>
      </c>
      <c r="B1" s="2">
        <v>5.19</v>
      </c>
      <c r="C1" s="2">
        <v>5.23</v>
      </c>
      <c r="D1" s="2">
        <v>5.38</v>
      </c>
      <c r="E1" s="2">
        <v>5.52</v>
      </c>
      <c r="F1" s="2">
        <v>5.7</v>
      </c>
      <c r="G1" s="2">
        <v>5.97</v>
      </c>
      <c r="H1" s="2">
        <v>6.24</v>
      </c>
      <c r="I1" s="2">
        <v>6.6</v>
      </c>
      <c r="J1" s="2">
        <v>6.97</v>
      </c>
      <c r="K1" s="2">
        <v>7.44</v>
      </c>
      <c r="L1" s="2">
        <v>7.82</v>
      </c>
      <c r="M1" s="2">
        <v>8.26</v>
      </c>
      <c r="N1" s="2">
        <v>8.72</v>
      </c>
      <c r="O1" s="14">
        <v>9.29</v>
      </c>
      <c r="P1" s="2" t="s">
        <v>35</v>
      </c>
    </row>
    <row r="2">
      <c r="A2" s="2">
        <v>5.09</v>
      </c>
      <c r="B2" s="2">
        <v>5.11</v>
      </c>
      <c r="C2" s="2">
        <v>5.18</v>
      </c>
      <c r="D2" s="2">
        <v>5.31</v>
      </c>
      <c r="E2" s="2">
        <v>5.43</v>
      </c>
      <c r="F2" s="2">
        <v>5.62</v>
      </c>
      <c r="G2" s="2">
        <v>5.88</v>
      </c>
      <c r="H2" s="2">
        <v>6.13</v>
      </c>
      <c r="I2" s="2">
        <v>6.48</v>
      </c>
      <c r="J2" s="2">
        <v>6.88</v>
      </c>
      <c r="K2" s="2">
        <v>7.39</v>
      </c>
      <c r="L2" s="2">
        <v>7.79</v>
      </c>
      <c r="M2" s="2">
        <v>8.21</v>
      </c>
      <c r="N2" s="2">
        <v>8.7</v>
      </c>
      <c r="O2" s="14">
        <v>9.31</v>
      </c>
      <c r="P2" s="2" t="s">
        <v>35</v>
      </c>
    </row>
    <row r="3">
      <c r="A3" s="2">
        <v>5.03</v>
      </c>
      <c r="B3" s="2">
        <v>5.04</v>
      </c>
      <c r="C3" s="2">
        <v>5.08</v>
      </c>
      <c r="D3" s="2">
        <v>5.19</v>
      </c>
      <c r="E3" s="2">
        <v>5.29</v>
      </c>
      <c r="F3" s="2">
        <v>5.45</v>
      </c>
      <c r="G3" s="2">
        <v>5.7</v>
      </c>
      <c r="H3" s="2">
        <v>6.0</v>
      </c>
      <c r="I3" s="2">
        <v>6.41</v>
      </c>
      <c r="J3" s="2">
        <v>6.79</v>
      </c>
      <c r="K3" s="2">
        <v>7.27</v>
      </c>
      <c r="L3" s="2">
        <v>7.73</v>
      </c>
      <c r="M3" s="2">
        <v>8.15</v>
      </c>
      <c r="N3" s="2">
        <v>8.63</v>
      </c>
      <c r="O3" s="14">
        <v>9.02</v>
      </c>
      <c r="P3" s="2" t="s">
        <v>35</v>
      </c>
    </row>
    <row r="4">
      <c r="A4" s="2">
        <v>4.98</v>
      </c>
      <c r="B4" s="2">
        <v>4.97</v>
      </c>
      <c r="C4" s="2">
        <v>4.99</v>
      </c>
      <c r="D4" s="2">
        <v>5.06</v>
      </c>
      <c r="E4" s="2">
        <v>5.13</v>
      </c>
      <c r="F4" s="2">
        <v>5.29</v>
      </c>
      <c r="G4" s="2">
        <v>5.5</v>
      </c>
      <c r="H4" s="2">
        <v>5.79</v>
      </c>
      <c r="I4" s="2">
        <v>6.23</v>
      </c>
      <c r="J4" s="2">
        <v>6.65</v>
      </c>
      <c r="K4" s="2">
        <v>7.16</v>
      </c>
      <c r="L4" s="2">
        <v>7.68</v>
      </c>
      <c r="M4" s="2">
        <v>8.08</v>
      </c>
      <c r="N4" s="2">
        <v>8.58</v>
      </c>
      <c r="O4" s="14">
        <v>9.36</v>
      </c>
      <c r="P4" s="2" t="s">
        <v>35</v>
      </c>
    </row>
    <row r="5">
      <c r="A5" s="2">
        <v>4.89</v>
      </c>
      <c r="B5" s="2">
        <v>4.88</v>
      </c>
      <c r="C5" s="2">
        <v>4.87</v>
      </c>
      <c r="D5" s="2">
        <v>4.91</v>
      </c>
      <c r="E5" s="2">
        <v>4.97</v>
      </c>
      <c r="F5" s="2">
        <v>5.12</v>
      </c>
      <c r="G5" s="2">
        <v>5.28</v>
      </c>
      <c r="H5" s="2">
        <v>5.58</v>
      </c>
      <c r="I5" s="2">
        <v>5.97</v>
      </c>
      <c r="J5" s="2">
        <v>6.49</v>
      </c>
      <c r="K5" s="2">
        <v>6.97</v>
      </c>
      <c r="L5" s="2">
        <v>7.56</v>
      </c>
      <c r="M5" s="2">
        <v>8.05</v>
      </c>
      <c r="N5" s="2">
        <v>8.52</v>
      </c>
      <c r="O5" s="14">
        <v>9.33</v>
      </c>
      <c r="P5" s="2" t="s">
        <v>35</v>
      </c>
    </row>
    <row r="6">
      <c r="A6" s="2">
        <v>4.81</v>
      </c>
      <c r="B6" s="2">
        <v>4.77</v>
      </c>
      <c r="C6" s="2">
        <v>4.73</v>
      </c>
      <c r="D6" s="2">
        <v>4.73</v>
      </c>
      <c r="E6" s="2">
        <v>4.75</v>
      </c>
      <c r="F6" s="2">
        <v>4.8</v>
      </c>
      <c r="G6" s="2">
        <v>4.94</v>
      </c>
      <c r="H6" s="2">
        <v>5.16</v>
      </c>
      <c r="I6" s="2">
        <v>5.74</v>
      </c>
      <c r="J6" s="2">
        <v>6.26</v>
      </c>
      <c r="K6" s="2">
        <v>6.9</v>
      </c>
      <c r="L6" s="2">
        <v>7.6</v>
      </c>
      <c r="M6" s="2">
        <v>8.0</v>
      </c>
      <c r="N6" s="2">
        <v>8.61</v>
      </c>
      <c r="O6" s="14">
        <v>9.47</v>
      </c>
      <c r="P6" s="2" t="s">
        <v>35</v>
      </c>
    </row>
    <row r="7">
      <c r="A7" s="2">
        <v>4.75</v>
      </c>
      <c r="B7" s="2">
        <v>4.69</v>
      </c>
      <c r="C7" s="2">
        <v>4.6</v>
      </c>
      <c r="D7" s="2">
        <v>4.55</v>
      </c>
      <c r="E7" s="2">
        <v>4.51</v>
      </c>
      <c r="F7" s="2">
        <v>4.41</v>
      </c>
      <c r="G7" s="2">
        <v>4.44</v>
      </c>
      <c r="H7" s="2">
        <v>4.54</v>
      </c>
      <c r="I7" s="2">
        <v>5.28</v>
      </c>
      <c r="J7" s="2">
        <v>6.04</v>
      </c>
      <c r="K7" s="2">
        <v>6.62</v>
      </c>
      <c r="L7" s="2">
        <v>7.47</v>
      </c>
      <c r="M7" s="2">
        <v>7.94</v>
      </c>
      <c r="N7" s="2">
        <v>8.46</v>
      </c>
      <c r="O7" s="14">
        <v>9.46</v>
      </c>
      <c r="P7" s="2" t="s">
        <v>35</v>
      </c>
    </row>
    <row r="8">
      <c r="A8" s="2">
        <v>4.68</v>
      </c>
      <c r="B8" s="2">
        <v>4.62</v>
      </c>
      <c r="C8" s="2">
        <v>4.5</v>
      </c>
      <c r="D8" s="2">
        <v>4.38</v>
      </c>
      <c r="E8" s="2">
        <v>4.25</v>
      </c>
      <c r="F8" s="2">
        <v>4.02</v>
      </c>
      <c r="G8" s="2">
        <v>3.84</v>
      </c>
      <c r="H8" s="2">
        <v>3.76</v>
      </c>
      <c r="I8" s="2">
        <v>4.82</v>
      </c>
      <c r="J8" s="2">
        <v>5.62</v>
      </c>
      <c r="K8" s="2">
        <v>6.71</v>
      </c>
      <c r="L8" s="2">
        <v>7.37</v>
      </c>
      <c r="M8" s="2">
        <v>7.86</v>
      </c>
      <c r="N8" s="2">
        <v>8.6</v>
      </c>
      <c r="O8" s="14">
        <v>9.53</v>
      </c>
      <c r="P8" s="2" t="s">
        <v>35</v>
      </c>
    </row>
    <row r="9">
      <c r="A9" s="2">
        <v>4.62</v>
      </c>
      <c r="B9" s="2">
        <v>4.54</v>
      </c>
      <c r="C9" s="2">
        <v>4.41</v>
      </c>
      <c r="D9" s="2">
        <v>4.23</v>
      </c>
      <c r="E9" s="2">
        <v>4.0</v>
      </c>
      <c r="F9" s="2">
        <v>3.55</v>
      </c>
      <c r="G9" s="2">
        <v>3.05</v>
      </c>
      <c r="H9" s="2">
        <v>2.58</v>
      </c>
      <c r="I9" s="2">
        <v>3.51</v>
      </c>
      <c r="J9" s="2">
        <v>5.08</v>
      </c>
      <c r="K9" s="2">
        <v>6.61</v>
      </c>
      <c r="L9" s="2">
        <v>7.45</v>
      </c>
      <c r="M9" s="2">
        <v>7.85</v>
      </c>
      <c r="N9" s="2">
        <v>8.58</v>
      </c>
      <c r="O9" s="14">
        <v>9.45</v>
      </c>
      <c r="P9" s="2" t="s">
        <v>35</v>
      </c>
    </row>
    <row r="10">
      <c r="A10" s="2">
        <v>4.59</v>
      </c>
      <c r="B10" s="2">
        <v>4.49</v>
      </c>
      <c r="C10" s="2">
        <v>4.35</v>
      </c>
      <c r="D10" s="2">
        <v>4.15</v>
      </c>
      <c r="E10" s="2">
        <v>3.82</v>
      </c>
      <c r="F10" s="2">
        <v>3.19</v>
      </c>
      <c r="G10" s="2">
        <v>1.77</v>
      </c>
      <c r="H10" s="2">
        <v>0.94</v>
      </c>
      <c r="I10" s="2">
        <v>1.8</v>
      </c>
      <c r="J10" s="2">
        <v>5.25</v>
      </c>
      <c r="K10" s="2">
        <v>6.17</v>
      </c>
      <c r="L10" s="2">
        <v>7.26</v>
      </c>
      <c r="M10" s="2">
        <v>7.97</v>
      </c>
      <c r="N10" s="2">
        <v>8.8</v>
      </c>
      <c r="O10" s="14">
        <v>9.47</v>
      </c>
      <c r="P10" s="2" t="s">
        <v>35</v>
      </c>
    </row>
    <row r="11">
      <c r="A11" s="14">
        <v>4.56</v>
      </c>
      <c r="B11" s="14">
        <v>4.46</v>
      </c>
      <c r="C11" s="14">
        <v>4.33</v>
      </c>
      <c r="D11" s="14">
        <v>4.07</v>
      </c>
      <c r="E11" s="14">
        <v>3.73</v>
      </c>
      <c r="F11" s="14">
        <v>3.08</v>
      </c>
      <c r="G11" s="14">
        <v>0.95</v>
      </c>
      <c r="H11" s="14">
        <v>0.0</v>
      </c>
      <c r="I11" s="14">
        <v>1.1</v>
      </c>
      <c r="J11" s="14">
        <v>5.43</v>
      </c>
      <c r="K11" s="14">
        <v>5.85</v>
      </c>
      <c r="L11" s="14">
        <v>7.37</v>
      </c>
      <c r="M11" s="14">
        <v>8.0</v>
      </c>
      <c r="N11" s="14">
        <v>8.68</v>
      </c>
      <c r="O11" s="14">
        <v>9.42</v>
      </c>
      <c r="P11" s="2" t="s">
        <v>35</v>
      </c>
    </row>
    <row r="12">
      <c r="A12" s="2" t="s">
        <v>36</v>
      </c>
      <c r="B12" s="2" t="s">
        <v>36</v>
      </c>
      <c r="C12" s="2" t="s">
        <v>36</v>
      </c>
      <c r="D12" s="2" t="s">
        <v>36</v>
      </c>
      <c r="E12" s="2" t="s">
        <v>36</v>
      </c>
      <c r="F12" s="2" t="s">
        <v>36</v>
      </c>
      <c r="G12" s="2" t="s">
        <v>36</v>
      </c>
      <c r="H12" s="2" t="s">
        <v>36</v>
      </c>
      <c r="I12" s="2" t="s">
        <v>36</v>
      </c>
      <c r="J12" s="2" t="s">
        <v>36</v>
      </c>
      <c r="K12" s="2" t="s">
        <v>36</v>
      </c>
      <c r="L12" s="2" t="s">
        <v>36</v>
      </c>
      <c r="M12" s="2" t="s">
        <v>36</v>
      </c>
      <c r="N12" s="2" t="s">
        <v>36</v>
      </c>
      <c r="O12" s="2" t="s">
        <v>36</v>
      </c>
    </row>
    <row r="13">
      <c r="A13" s="2">
        <v>0.0</v>
      </c>
      <c r="B13" s="2">
        <v>1.0</v>
      </c>
      <c r="C13" s="2">
        <v>2.0</v>
      </c>
      <c r="D13" s="2">
        <v>3.0</v>
      </c>
      <c r="E13" s="2">
        <v>4.0</v>
      </c>
      <c r="F13" s="2">
        <v>5.0</v>
      </c>
      <c r="G13" s="2">
        <v>6.0</v>
      </c>
      <c r="H13" s="2">
        <v>7.0</v>
      </c>
      <c r="I13" s="2">
        <v>8.0</v>
      </c>
      <c r="J13" s="2">
        <v>9.0</v>
      </c>
      <c r="K13" s="2">
        <v>10.0</v>
      </c>
      <c r="L13" s="2">
        <v>11.0</v>
      </c>
      <c r="M13" s="2">
        <v>12.0</v>
      </c>
      <c r="N13" s="2">
        <v>13.0</v>
      </c>
      <c r="O13" s="2">
        <v>14.0</v>
      </c>
    </row>
    <row r="20">
      <c r="A20" s="2" t="s">
        <v>37</v>
      </c>
      <c r="B20" s="2">
        <v>19.77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v>5.12</v>
      </c>
      <c r="B1" s="2">
        <v>5.19</v>
      </c>
      <c r="C1" s="2">
        <v>5.23</v>
      </c>
      <c r="D1" s="2">
        <v>5.38</v>
      </c>
      <c r="E1" s="2">
        <v>5.52</v>
      </c>
      <c r="F1" s="2">
        <v>5.7</v>
      </c>
      <c r="G1" s="2">
        <v>5.97</v>
      </c>
      <c r="H1" s="2">
        <v>6.24</v>
      </c>
      <c r="I1" s="2">
        <v>6.6</v>
      </c>
      <c r="J1" s="2">
        <v>6.97</v>
      </c>
      <c r="K1" s="2">
        <v>7.44</v>
      </c>
      <c r="L1" s="2">
        <v>7.82</v>
      </c>
      <c r="M1" s="2">
        <v>8.26</v>
      </c>
      <c r="N1" s="2">
        <v>8.72</v>
      </c>
      <c r="O1" s="14">
        <v>9.29</v>
      </c>
    </row>
    <row r="2">
      <c r="A2" s="2">
        <v>5.09</v>
      </c>
      <c r="B2" s="2">
        <v>5.11</v>
      </c>
      <c r="C2" s="2">
        <v>5.18</v>
      </c>
      <c r="D2" s="2">
        <v>5.31</v>
      </c>
      <c r="E2" s="2">
        <v>5.43</v>
      </c>
      <c r="F2" s="2">
        <v>5.62</v>
      </c>
      <c r="G2" s="2">
        <v>5.88</v>
      </c>
      <c r="H2" s="2">
        <v>6.13</v>
      </c>
      <c r="I2" s="2">
        <v>6.48</v>
      </c>
      <c r="J2" s="2">
        <v>6.88</v>
      </c>
      <c r="K2" s="2">
        <v>7.39</v>
      </c>
      <c r="L2" s="2">
        <v>7.79</v>
      </c>
      <c r="M2" s="2">
        <v>8.21</v>
      </c>
      <c r="N2" s="2">
        <v>8.7</v>
      </c>
      <c r="O2" s="14">
        <v>9.31</v>
      </c>
    </row>
    <row r="3">
      <c r="A3" s="2">
        <v>5.03</v>
      </c>
      <c r="B3" s="2">
        <v>5.04</v>
      </c>
      <c r="C3" s="2">
        <v>5.08</v>
      </c>
      <c r="D3" s="2">
        <v>5.19</v>
      </c>
      <c r="E3" s="2">
        <v>5.29</v>
      </c>
      <c r="F3" s="2">
        <v>5.45</v>
      </c>
      <c r="G3" s="2">
        <v>5.7</v>
      </c>
      <c r="H3" s="2">
        <v>6.0</v>
      </c>
      <c r="I3" s="2">
        <v>6.41</v>
      </c>
      <c r="J3" s="2">
        <v>6.79</v>
      </c>
      <c r="K3" s="2">
        <v>7.27</v>
      </c>
      <c r="L3" s="2">
        <v>7.73</v>
      </c>
      <c r="M3" s="2">
        <v>8.15</v>
      </c>
      <c r="N3" s="2">
        <v>8.63</v>
      </c>
      <c r="O3" s="14">
        <v>9.02</v>
      </c>
    </row>
    <row r="4">
      <c r="A4" s="2">
        <v>4.98</v>
      </c>
      <c r="B4" s="2">
        <v>4.97</v>
      </c>
      <c r="C4" s="2">
        <v>4.99</v>
      </c>
      <c r="D4" s="2">
        <v>5.06</v>
      </c>
      <c r="E4" s="2">
        <v>5.13</v>
      </c>
      <c r="F4" s="2">
        <v>5.29</v>
      </c>
      <c r="G4" s="2">
        <v>5.5</v>
      </c>
      <c r="H4" s="2">
        <v>5.79</v>
      </c>
      <c r="I4" s="2">
        <v>6.23</v>
      </c>
      <c r="J4" s="2">
        <v>6.65</v>
      </c>
      <c r="K4" s="2">
        <v>7.16</v>
      </c>
      <c r="L4" s="2">
        <v>7.68</v>
      </c>
      <c r="M4" s="2">
        <v>8.08</v>
      </c>
      <c r="N4" s="2">
        <v>8.58</v>
      </c>
      <c r="O4" s="14">
        <v>9.36</v>
      </c>
    </row>
    <row r="5">
      <c r="A5" s="2">
        <v>4.89</v>
      </c>
      <c r="B5" s="2">
        <v>4.88</v>
      </c>
      <c r="C5" s="2">
        <v>4.87</v>
      </c>
      <c r="D5" s="2">
        <v>4.91</v>
      </c>
      <c r="E5" s="2">
        <v>4.97</v>
      </c>
      <c r="F5" s="2">
        <v>5.12</v>
      </c>
      <c r="G5" s="2">
        <v>5.28</v>
      </c>
      <c r="H5" s="2">
        <v>5.58</v>
      </c>
      <c r="I5" s="2">
        <v>5.97</v>
      </c>
      <c r="J5" s="2">
        <v>6.49</v>
      </c>
      <c r="K5" s="2">
        <v>6.97</v>
      </c>
      <c r="L5" s="2">
        <v>7.56</v>
      </c>
      <c r="M5" s="2">
        <v>8.05</v>
      </c>
      <c r="N5" s="2">
        <v>8.52</v>
      </c>
      <c r="O5" s="14">
        <v>9.33</v>
      </c>
    </row>
    <row r="6">
      <c r="A6" s="2">
        <v>4.81</v>
      </c>
      <c r="B6" s="2">
        <v>4.77</v>
      </c>
      <c r="C6" s="2">
        <v>4.73</v>
      </c>
      <c r="D6" s="2">
        <v>4.73</v>
      </c>
      <c r="E6" s="2">
        <v>4.75</v>
      </c>
      <c r="F6" s="2">
        <v>4.8</v>
      </c>
      <c r="G6" s="2">
        <v>4.94</v>
      </c>
      <c r="H6" s="2">
        <v>5.16</v>
      </c>
      <c r="I6" s="2">
        <v>5.74</v>
      </c>
      <c r="J6" s="2">
        <v>6.26</v>
      </c>
      <c r="K6" s="2">
        <v>6.9</v>
      </c>
      <c r="L6" s="2">
        <v>7.6</v>
      </c>
      <c r="M6" s="2">
        <v>8.0</v>
      </c>
      <c r="N6" s="2">
        <v>8.61</v>
      </c>
      <c r="O6" s="14">
        <v>9.47</v>
      </c>
    </row>
    <row r="7">
      <c r="A7" s="2">
        <v>4.75</v>
      </c>
      <c r="B7" s="2">
        <v>4.69</v>
      </c>
      <c r="C7" s="2">
        <v>4.6</v>
      </c>
      <c r="D7" s="2">
        <v>4.55</v>
      </c>
      <c r="E7" s="2">
        <v>4.51</v>
      </c>
      <c r="F7" s="2">
        <v>4.41</v>
      </c>
      <c r="G7" s="2">
        <v>4.44</v>
      </c>
      <c r="H7" s="2">
        <v>4.54</v>
      </c>
      <c r="I7" s="2">
        <v>5.28</v>
      </c>
      <c r="J7" s="2">
        <v>6.04</v>
      </c>
      <c r="K7" s="2">
        <v>6.62</v>
      </c>
      <c r="L7" s="2">
        <v>7.47</v>
      </c>
      <c r="M7" s="2">
        <v>7.94</v>
      </c>
      <c r="N7" s="2">
        <v>8.46</v>
      </c>
      <c r="O7" s="14">
        <v>9.46</v>
      </c>
    </row>
    <row r="8">
      <c r="A8" s="2">
        <v>4.68</v>
      </c>
      <c r="B8" s="2">
        <v>4.62</v>
      </c>
      <c r="C8" s="2">
        <v>4.5</v>
      </c>
      <c r="D8" s="2">
        <v>4.38</v>
      </c>
      <c r="E8" s="2">
        <v>4.25</v>
      </c>
      <c r="F8" s="2">
        <v>4.02</v>
      </c>
      <c r="G8" s="2">
        <v>3.84</v>
      </c>
      <c r="H8" s="2">
        <v>3.76</v>
      </c>
      <c r="I8" s="2">
        <v>4.82</v>
      </c>
      <c r="J8" s="2">
        <v>5.62</v>
      </c>
      <c r="K8" s="2">
        <v>6.71</v>
      </c>
      <c r="L8" s="2">
        <v>7.37</v>
      </c>
      <c r="M8" s="2">
        <v>7.86</v>
      </c>
      <c r="N8" s="2">
        <v>8.6</v>
      </c>
      <c r="O8" s="14">
        <v>9.53</v>
      </c>
    </row>
    <row r="9">
      <c r="A9" s="2">
        <v>4.62</v>
      </c>
      <c r="B9" s="2">
        <v>4.54</v>
      </c>
      <c r="C9" s="2">
        <v>4.41</v>
      </c>
      <c r="D9" s="2">
        <v>4.23</v>
      </c>
      <c r="E9" s="2">
        <v>4.0</v>
      </c>
      <c r="F9" s="2">
        <v>3.55</v>
      </c>
      <c r="G9" s="2">
        <v>3.05</v>
      </c>
      <c r="H9" s="2">
        <v>2.58</v>
      </c>
      <c r="I9" s="2">
        <v>3.51</v>
      </c>
      <c r="J9" s="2">
        <v>5.08</v>
      </c>
      <c r="K9" s="2">
        <v>6.61</v>
      </c>
      <c r="L9" s="2">
        <v>7.45</v>
      </c>
      <c r="M9" s="2">
        <v>7.85</v>
      </c>
      <c r="N9" s="2">
        <v>8.58</v>
      </c>
      <c r="O9" s="14">
        <v>9.45</v>
      </c>
    </row>
    <row r="10">
      <c r="A10" s="2">
        <v>4.59</v>
      </c>
      <c r="B10" s="2">
        <v>4.49</v>
      </c>
      <c r="C10" s="2">
        <v>4.35</v>
      </c>
      <c r="D10" s="2">
        <v>4.15</v>
      </c>
      <c r="E10" s="2">
        <v>3.82</v>
      </c>
      <c r="F10" s="2">
        <v>3.19</v>
      </c>
      <c r="G10" s="2">
        <v>1.77</v>
      </c>
      <c r="H10" s="2">
        <v>0.94</v>
      </c>
      <c r="I10" s="2">
        <v>1.8</v>
      </c>
      <c r="J10" s="2">
        <v>5.25</v>
      </c>
      <c r="K10" s="2">
        <v>6.17</v>
      </c>
      <c r="L10" s="2">
        <v>7.26</v>
      </c>
      <c r="M10" s="2">
        <v>7.97</v>
      </c>
      <c r="N10" s="2">
        <v>8.8</v>
      </c>
      <c r="O10" s="14">
        <v>9.47</v>
      </c>
    </row>
    <row r="11">
      <c r="A11" s="14">
        <v>4.56</v>
      </c>
      <c r="B11" s="14">
        <v>4.46</v>
      </c>
      <c r="C11" s="14">
        <v>4.33</v>
      </c>
      <c r="D11" s="14">
        <v>4.07</v>
      </c>
      <c r="E11" s="14">
        <v>3.73</v>
      </c>
      <c r="F11" s="14">
        <v>3.08</v>
      </c>
      <c r="G11" s="14">
        <v>0.95</v>
      </c>
      <c r="H11" s="14">
        <v>0.0</v>
      </c>
      <c r="I11" s="14">
        <v>1.1</v>
      </c>
      <c r="J11" s="14">
        <v>5.43</v>
      </c>
      <c r="K11" s="14">
        <v>5.85</v>
      </c>
      <c r="L11" s="14">
        <v>7.37</v>
      </c>
      <c r="M11" s="14">
        <v>8.0</v>
      </c>
      <c r="N11" s="14">
        <v>8.68</v>
      </c>
      <c r="O11" s="14">
        <v>9.42</v>
      </c>
    </row>
  </sheetData>
  <drawing r:id="rId1"/>
</worksheet>
</file>