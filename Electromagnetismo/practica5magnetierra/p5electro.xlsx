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Proyectos\PythonPlotting\Electromagnetismo\practica5magnetierra\"/>
    </mc:Choice>
  </mc:AlternateContent>
  <xr:revisionPtr revIDLastSave="0" documentId="8_{2F9E8088-BC46-4F72-9E08-E04BB69C537C}" xr6:coauthVersionLast="47" xr6:coauthVersionMax="47" xr10:uidLastSave="{00000000-0000-0000-0000-000000000000}"/>
  <bookViews>
    <workbookView xWindow="-120" yWindow="-120" windowWidth="29040" windowHeight="15720" activeTab="5" xr2:uid="{5784CD7F-D9FE-48D9-9F16-4B8A459F24D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6" l="1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2" i="6"/>
  <c r="B2" i="6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D2" i="5"/>
  <c r="B2" i="5"/>
  <c r="D16" i="4"/>
  <c r="B16" i="4"/>
  <c r="D15" i="4"/>
  <c r="B15" i="4"/>
  <c r="D14" i="4"/>
  <c r="B14" i="4"/>
  <c r="D13" i="4"/>
  <c r="B13" i="4"/>
  <c r="D12" i="4"/>
  <c r="B12" i="4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D3" i="4"/>
  <c r="B3" i="4"/>
  <c r="D2" i="4"/>
  <c r="B2" i="4"/>
  <c r="D16" i="3"/>
  <c r="B16" i="3"/>
  <c r="D15" i="3"/>
  <c r="B15" i="3"/>
  <c r="D14" i="3"/>
  <c r="B14" i="3"/>
  <c r="D13" i="3"/>
  <c r="B13" i="3"/>
  <c r="D12" i="3"/>
  <c r="B12" i="3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B4" i="3"/>
  <c r="D3" i="3"/>
  <c r="B3" i="3"/>
  <c r="D2" i="3"/>
  <c r="B2" i="3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</calcChain>
</file>

<file path=xl/sharedStrings.xml><?xml version="1.0" encoding="utf-8"?>
<sst xmlns="http://schemas.openxmlformats.org/spreadsheetml/2006/main" count="24" uniqueCount="4">
  <si>
    <t>I (A)</t>
  </si>
  <si>
    <t>err I</t>
  </si>
  <si>
    <t>$alpha$</t>
  </si>
  <si>
    <t xml:space="preserve"> err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</si>
</sst>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ck">
        <color rgb="FF134F5C"/>
      </left>
      <right style="thick">
        <color rgb="FF134F5C"/>
      </right>
      <top style="thick">
        <color rgb="FF134F5C"/>
      </top>
      <bottom style="thick">
        <color rgb="FF134F5C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Normal" xfId="0" builtinId="0"/>
    <cellStyle name="Normal 2" xfId="1" xr:uid="{439A8068-C586-4516-9426-900F3D5FF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8CE0-63AB-4230-AADF-A44B57D6D9BB}">
  <dimension ref="A1:D16"/>
  <sheetViews>
    <sheetView workbookViewId="0">
      <selection activeCell="A2" sqref="A2:D16"/>
    </sheetView>
  </sheetViews>
  <sheetFormatPr defaultRowHeight="14.25"/>
  <sheetData>
    <row r="1" spans="1:4" ht="15.75" thickTop="1" thickBot="1">
      <c r="A1" s="1" t="s">
        <v>0</v>
      </c>
      <c r="B1" s="2" t="s">
        <v>1</v>
      </c>
      <c r="C1" s="1" t="s">
        <v>2</v>
      </c>
      <c r="D1" s="2" t="s">
        <v>3</v>
      </c>
    </row>
    <row r="2" spans="1:4" ht="15.75" thickTop="1" thickBot="1">
      <c r="A2" s="1">
        <v>-0.221</v>
      </c>
      <c r="B2" s="2">
        <v>5.2100000000000002E-3</v>
      </c>
      <c r="C2" s="1">
        <v>80</v>
      </c>
      <c r="D2" s="2">
        <v>0.28867513500000003</v>
      </c>
    </row>
    <row r="3" spans="1:4" ht="15.75" thickTop="1" thickBot="1">
      <c r="A3" s="1">
        <v>-0.14199999999999999</v>
      </c>
      <c r="B3" s="2">
        <v>4.4200000000000003E-3</v>
      </c>
      <c r="C3" s="1">
        <v>74</v>
      </c>
      <c r="D3" s="2">
        <v>0.28867513500000003</v>
      </c>
    </row>
    <row r="4" spans="1:4" ht="15.75" thickTop="1" thickBot="1">
      <c r="A4" s="1">
        <v>-0.104</v>
      </c>
      <c r="B4" s="2">
        <v>4.0400000000000002E-3</v>
      </c>
      <c r="C4" s="1">
        <v>70</v>
      </c>
      <c r="D4" s="2">
        <v>0.28867513500000003</v>
      </c>
    </row>
    <row r="5" spans="1:4" ht="15.75" thickTop="1" thickBot="1">
      <c r="A5" s="1">
        <v>-7.4999999999999997E-2</v>
      </c>
      <c r="B5" s="2">
        <v>3.7499999999999999E-3</v>
      </c>
      <c r="C5" s="1">
        <v>64</v>
      </c>
      <c r="D5" s="2">
        <v>0.28867513500000003</v>
      </c>
    </row>
    <row r="6" spans="1:4" ht="15.75" thickTop="1" thickBot="1">
      <c r="A6" s="3">
        <v>-6.4000000000000001E-2</v>
      </c>
      <c r="B6" s="2">
        <v>3.64E-3</v>
      </c>
      <c r="C6" s="1">
        <v>60</v>
      </c>
      <c r="D6" s="2">
        <v>0.28867513500000003</v>
      </c>
    </row>
    <row r="7" spans="1:4" ht="15.75" thickTop="1" thickBot="1">
      <c r="A7" s="1">
        <v>-4.9000000000000002E-2</v>
      </c>
      <c r="B7" s="2">
        <v>3.49E-3</v>
      </c>
      <c r="C7" s="1">
        <v>54</v>
      </c>
      <c r="D7" s="2">
        <v>0.28867513500000003</v>
      </c>
    </row>
    <row r="8" spans="1:4" ht="15.75" thickTop="1" thickBot="1">
      <c r="A8" s="1">
        <v>-4.4999999999999998E-2</v>
      </c>
      <c r="B8" s="2">
        <v>3.4499999999999999E-3</v>
      </c>
      <c r="C8" s="1">
        <v>50</v>
      </c>
      <c r="D8" s="2">
        <v>0.28867513500000003</v>
      </c>
    </row>
    <row r="9" spans="1:4" ht="15.75" thickTop="1" thickBot="1">
      <c r="A9" s="1">
        <v>-3.3000000000000002E-2</v>
      </c>
      <c r="B9" s="2">
        <v>3.3300000000000001E-3</v>
      </c>
      <c r="C9" s="1">
        <v>44</v>
      </c>
      <c r="D9" s="2">
        <v>0.28867513500000003</v>
      </c>
    </row>
    <row r="10" spans="1:4" ht="15.75" thickTop="1" thickBot="1">
      <c r="A10" s="1">
        <v>-2.9000000000000001E-2</v>
      </c>
      <c r="B10" s="2">
        <v>3.29E-3</v>
      </c>
      <c r="C10" s="1">
        <v>40</v>
      </c>
      <c r="D10" s="2">
        <v>0.28867513500000003</v>
      </c>
    </row>
    <row r="11" spans="1:4" ht="15.75" thickTop="1" thickBot="1">
      <c r="A11" s="1">
        <v>-2.1999999999999999E-2</v>
      </c>
      <c r="B11" s="2">
        <v>3.2200000000000002E-3</v>
      </c>
      <c r="C11" s="1">
        <v>34</v>
      </c>
      <c r="D11" s="2">
        <v>0.28867513500000003</v>
      </c>
    </row>
    <row r="12" spans="1:4" ht="15.75" thickTop="1" thickBot="1">
      <c r="A12" s="1">
        <v>-1.9E-2</v>
      </c>
      <c r="B12" s="2">
        <v>3.1900000000000001E-3</v>
      </c>
      <c r="C12" s="1">
        <v>30</v>
      </c>
      <c r="D12" s="2">
        <v>0.28867513500000003</v>
      </c>
    </row>
    <row r="13" spans="1:4" ht="15.75" thickTop="1" thickBot="1">
      <c r="A13" s="4">
        <v>-1.4999999999999999E-2</v>
      </c>
      <c r="B13" s="4">
        <v>3.15E-3</v>
      </c>
      <c r="C13" s="4">
        <v>24</v>
      </c>
      <c r="D13" s="4">
        <v>0.28867513500000003</v>
      </c>
    </row>
    <row r="14" spans="1:4" ht="15.75" thickTop="1" thickBot="1">
      <c r="A14" s="5">
        <v>-1.2E-2</v>
      </c>
      <c r="B14" s="5">
        <v>3.1199999999999999E-3</v>
      </c>
      <c r="C14" s="5">
        <v>20</v>
      </c>
      <c r="D14" s="5">
        <v>0.28867513500000003</v>
      </c>
    </row>
    <row r="15" spans="1:4" ht="15.75" thickTop="1" thickBot="1">
      <c r="A15" s="5">
        <v>-8.0000000000000002E-3</v>
      </c>
      <c r="B15" s="5">
        <v>3.0799999999999998E-3</v>
      </c>
      <c r="C15" s="5">
        <v>14</v>
      </c>
      <c r="D15" s="5">
        <v>0.28867513500000003</v>
      </c>
    </row>
    <row r="16" spans="1:4" ht="15.75" thickTop="1" thickBot="1">
      <c r="A16" s="6">
        <v>-6.0000000000000001E-3</v>
      </c>
      <c r="B16" s="6">
        <v>3.0599999999999998E-3</v>
      </c>
      <c r="C16" s="6">
        <v>10</v>
      </c>
      <c r="D16" s="6">
        <v>0.28867513500000003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7059-393E-4D64-BA7C-1947BE889733}">
  <dimension ref="A1:D16"/>
  <sheetViews>
    <sheetView workbookViewId="0">
      <selection sqref="A1:D16"/>
    </sheetView>
  </sheetViews>
  <sheetFormatPr defaultRowHeight="14.25"/>
  <sheetData>
    <row r="1" spans="1:4" ht="16.5" thickTop="1" thickBot="1">
      <c r="A1" s="7" t="s">
        <v>0</v>
      </c>
      <c r="B1" s="8" t="s">
        <v>1</v>
      </c>
      <c r="C1" s="7" t="s">
        <v>2</v>
      </c>
      <c r="D1" s="8" t="s">
        <v>3</v>
      </c>
    </row>
    <row r="2" spans="1:4" ht="16.5" thickTop="1" thickBot="1">
      <c r="A2" s="7">
        <v>0.19400000000000001</v>
      </c>
      <c r="B2" s="8">
        <f t="shared" ref="B2:B16" si="0">ABS(A2*(1/100))+0.003</f>
        <v>4.9399999999999999E-3</v>
      </c>
      <c r="C2" s="7">
        <v>80</v>
      </c>
      <c r="D2" s="8">
        <f t="shared" ref="D2:D16" si="1">1/SQRT(12)</f>
        <v>0.28867513459481292</v>
      </c>
    </row>
    <row r="3" spans="1:4" ht="16.5" thickTop="1" thickBot="1">
      <c r="A3" s="7">
        <v>0.13100000000000001</v>
      </c>
      <c r="B3" s="8">
        <f t="shared" si="0"/>
        <v>4.3100000000000005E-3</v>
      </c>
      <c r="C3" s="7">
        <v>74</v>
      </c>
      <c r="D3" s="8">
        <f t="shared" si="1"/>
        <v>0.28867513459481292</v>
      </c>
    </row>
    <row r="4" spans="1:4" ht="16.5" thickTop="1" thickBot="1">
      <c r="A4" s="7">
        <v>0.104</v>
      </c>
      <c r="B4" s="8">
        <f t="shared" si="0"/>
        <v>4.0400000000000002E-3</v>
      </c>
      <c r="C4" s="7">
        <v>70</v>
      </c>
      <c r="D4" s="8">
        <f t="shared" si="1"/>
        <v>0.28867513459481292</v>
      </c>
    </row>
    <row r="5" spans="1:4" ht="16.5" thickTop="1" thickBot="1">
      <c r="A5" s="7">
        <v>7.9000000000000001E-2</v>
      </c>
      <c r="B5" s="8">
        <f t="shared" si="0"/>
        <v>3.79E-3</v>
      </c>
      <c r="C5" s="7">
        <v>64</v>
      </c>
      <c r="D5" s="8">
        <f t="shared" si="1"/>
        <v>0.28867513459481292</v>
      </c>
    </row>
    <row r="6" spans="1:4" ht="16.5" thickTop="1" thickBot="1">
      <c r="A6" s="9">
        <v>6.8000000000000005E-2</v>
      </c>
      <c r="B6" s="8">
        <f t="shared" si="0"/>
        <v>3.6800000000000001E-3</v>
      </c>
      <c r="C6" s="7">
        <v>60</v>
      </c>
      <c r="D6" s="8">
        <f t="shared" si="1"/>
        <v>0.28867513459481292</v>
      </c>
    </row>
    <row r="7" spans="1:4" ht="16.5" thickTop="1" thickBot="1">
      <c r="A7" s="7">
        <v>5.2999999999999999E-2</v>
      </c>
      <c r="B7" s="8">
        <f t="shared" si="0"/>
        <v>3.5300000000000002E-3</v>
      </c>
      <c r="C7" s="7">
        <v>54</v>
      </c>
      <c r="D7" s="8">
        <f t="shared" si="1"/>
        <v>0.28867513459481292</v>
      </c>
    </row>
    <row r="8" spans="1:4" ht="16.5" thickTop="1" thickBot="1">
      <c r="A8" s="7">
        <v>4.7E-2</v>
      </c>
      <c r="B8" s="8">
        <f t="shared" si="0"/>
        <v>3.47E-3</v>
      </c>
      <c r="C8" s="7">
        <v>50</v>
      </c>
      <c r="D8" s="8">
        <f t="shared" si="1"/>
        <v>0.28867513459481292</v>
      </c>
    </row>
    <row r="9" spans="1:4" ht="16.5" thickTop="1" thickBot="1">
      <c r="A9" s="7">
        <v>3.6999999999999998E-2</v>
      </c>
      <c r="B9" s="8">
        <f t="shared" si="0"/>
        <v>3.3700000000000002E-3</v>
      </c>
      <c r="C9" s="7">
        <v>44</v>
      </c>
      <c r="D9" s="8">
        <f t="shared" si="1"/>
        <v>0.28867513459481292</v>
      </c>
    </row>
    <row r="10" spans="1:4" ht="16.5" thickTop="1" thickBot="1">
      <c r="A10" s="7">
        <v>3.3000000000000002E-2</v>
      </c>
      <c r="B10" s="8">
        <f t="shared" si="0"/>
        <v>3.3300000000000001E-3</v>
      </c>
      <c r="C10" s="7">
        <v>40</v>
      </c>
      <c r="D10" s="8">
        <f t="shared" si="1"/>
        <v>0.28867513459481292</v>
      </c>
    </row>
    <row r="11" spans="1:4" ht="16.5" thickTop="1" thickBot="1">
      <c r="A11" s="7">
        <v>2.8000000000000001E-2</v>
      </c>
      <c r="B11" s="8">
        <f t="shared" si="0"/>
        <v>3.2799999999999999E-3</v>
      </c>
      <c r="C11" s="7">
        <v>34</v>
      </c>
      <c r="D11" s="8">
        <f t="shared" si="1"/>
        <v>0.28867513459481292</v>
      </c>
    </row>
    <row r="12" spans="1:4" ht="16.5" thickTop="1" thickBot="1">
      <c r="A12" s="7">
        <v>2.4E-2</v>
      </c>
      <c r="B12" s="8">
        <f t="shared" si="0"/>
        <v>3.2400000000000003E-3</v>
      </c>
      <c r="C12" s="7">
        <v>30</v>
      </c>
      <c r="D12" s="8">
        <f t="shared" si="1"/>
        <v>0.28867513459481292</v>
      </c>
    </row>
    <row r="13" spans="1:4" ht="16.5" thickTop="1" thickBot="1">
      <c r="A13" s="7">
        <v>1.9E-2</v>
      </c>
      <c r="B13" s="8">
        <f t="shared" si="0"/>
        <v>3.1900000000000001E-3</v>
      </c>
      <c r="C13" s="7">
        <v>24</v>
      </c>
      <c r="D13" s="8">
        <f t="shared" si="1"/>
        <v>0.28867513459481292</v>
      </c>
    </row>
    <row r="14" spans="1:4" ht="16.5" thickTop="1" thickBot="1">
      <c r="A14" s="7">
        <v>1.6E-2</v>
      </c>
      <c r="B14" s="8">
        <f t="shared" si="0"/>
        <v>3.16E-3</v>
      </c>
      <c r="C14" s="7">
        <v>20</v>
      </c>
      <c r="D14" s="8">
        <f t="shared" si="1"/>
        <v>0.28867513459481292</v>
      </c>
    </row>
    <row r="15" spans="1:4" ht="16.5" thickTop="1" thickBot="1">
      <c r="A15" s="7">
        <v>1.0999999999999999E-2</v>
      </c>
      <c r="B15" s="8">
        <f t="shared" si="0"/>
        <v>3.1099999999999999E-3</v>
      </c>
      <c r="C15" s="7">
        <v>14</v>
      </c>
      <c r="D15" s="8">
        <f t="shared" si="1"/>
        <v>0.28867513459481292</v>
      </c>
    </row>
    <row r="16" spans="1:4" ht="16.5" thickTop="1" thickBot="1">
      <c r="A16" s="7">
        <v>8.0000000000000002E-3</v>
      </c>
      <c r="B16" s="8">
        <f t="shared" si="0"/>
        <v>3.0800000000000003E-3</v>
      </c>
      <c r="C16" s="7">
        <v>10</v>
      </c>
      <c r="D16" s="8">
        <f t="shared" si="1"/>
        <v>0.28867513459481292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E541-1C32-4366-9AC7-36ECD3FB3D26}">
  <dimension ref="A1:D16"/>
  <sheetViews>
    <sheetView workbookViewId="0">
      <selection sqref="A1:D16"/>
    </sheetView>
  </sheetViews>
  <sheetFormatPr defaultRowHeight="14.25"/>
  <sheetData>
    <row r="1" spans="1:4" ht="16.5" thickTop="1" thickBot="1">
      <c r="A1" s="7" t="s">
        <v>0</v>
      </c>
      <c r="B1" s="8" t="s">
        <v>1</v>
      </c>
      <c r="C1" s="7" t="s">
        <v>2</v>
      </c>
      <c r="D1" s="8" t="s">
        <v>3</v>
      </c>
    </row>
    <row r="2" spans="1:4" ht="16.5" thickTop="1" thickBot="1">
      <c r="A2" s="7">
        <v>-0.25900000000000001</v>
      </c>
      <c r="B2" s="8">
        <f t="shared" ref="B2:B16" si="0">ABS(A2*(1/100))+0.003</f>
        <v>5.5900000000000004E-3</v>
      </c>
      <c r="C2" s="7">
        <v>80</v>
      </c>
      <c r="D2" s="8">
        <f t="shared" ref="D2:D16" si="1">1/SQRT(12)</f>
        <v>0.28867513459481292</v>
      </c>
    </row>
    <row r="3" spans="1:4" ht="16.5" thickTop="1" thickBot="1">
      <c r="A3" s="7">
        <v>-0.156</v>
      </c>
      <c r="B3" s="8">
        <f t="shared" si="0"/>
        <v>4.5599999999999998E-3</v>
      </c>
      <c r="C3" s="7">
        <v>74</v>
      </c>
      <c r="D3" s="8">
        <f t="shared" si="1"/>
        <v>0.28867513459481292</v>
      </c>
    </row>
    <row r="4" spans="1:4" ht="16.5" thickTop="1" thickBot="1">
      <c r="A4" s="7">
        <v>-0.109</v>
      </c>
      <c r="B4" s="8">
        <f t="shared" si="0"/>
        <v>4.0899999999999999E-3</v>
      </c>
      <c r="C4" s="7">
        <v>70</v>
      </c>
      <c r="D4" s="8">
        <f t="shared" si="1"/>
        <v>0.28867513459481292</v>
      </c>
    </row>
    <row r="5" spans="1:4" ht="16.5" thickTop="1" thickBot="1">
      <c r="A5" s="7">
        <v>-8.7999999999999995E-2</v>
      </c>
      <c r="B5" s="8">
        <f t="shared" si="0"/>
        <v>3.8799999999999998E-3</v>
      </c>
      <c r="C5" s="7">
        <v>64</v>
      </c>
      <c r="D5" s="8">
        <f t="shared" si="1"/>
        <v>0.28867513459481292</v>
      </c>
    </row>
    <row r="6" spans="1:4" ht="16.5" thickTop="1" thickBot="1">
      <c r="A6" s="9">
        <v>-7.2999999999999995E-2</v>
      </c>
      <c r="B6" s="8">
        <f t="shared" si="0"/>
        <v>3.7299999999999998E-3</v>
      </c>
      <c r="C6" s="7">
        <v>60</v>
      </c>
      <c r="D6" s="8">
        <f t="shared" si="1"/>
        <v>0.28867513459481292</v>
      </c>
    </row>
    <row r="7" spans="1:4" ht="16.5" thickTop="1" thickBot="1">
      <c r="A7" s="7">
        <v>-5.7000000000000002E-2</v>
      </c>
      <c r="B7" s="8">
        <f t="shared" si="0"/>
        <v>3.5700000000000003E-3</v>
      </c>
      <c r="C7" s="7">
        <v>54</v>
      </c>
      <c r="D7" s="8">
        <f t="shared" si="1"/>
        <v>0.28867513459481292</v>
      </c>
    </row>
    <row r="8" spans="1:4" ht="16.5" thickTop="1" thickBot="1">
      <c r="A8" s="7">
        <v>-4.8000000000000001E-2</v>
      </c>
      <c r="B8" s="8">
        <f t="shared" si="0"/>
        <v>3.48E-3</v>
      </c>
      <c r="C8" s="7">
        <v>50</v>
      </c>
      <c r="D8" s="8">
        <f t="shared" si="1"/>
        <v>0.28867513459481292</v>
      </c>
    </row>
    <row r="9" spans="1:4" ht="16.5" thickTop="1" thickBot="1">
      <c r="A9" s="7">
        <v>-0.04</v>
      </c>
      <c r="B9" s="8">
        <f t="shared" si="0"/>
        <v>3.4000000000000002E-3</v>
      </c>
      <c r="C9" s="7">
        <v>44</v>
      </c>
      <c r="D9" s="8">
        <f t="shared" si="1"/>
        <v>0.28867513459481292</v>
      </c>
    </row>
    <row r="10" spans="1:4" ht="16.5" thickTop="1" thickBot="1">
      <c r="A10" s="7">
        <v>-3.5000000000000003E-2</v>
      </c>
      <c r="B10" s="8">
        <f t="shared" si="0"/>
        <v>3.3500000000000001E-3</v>
      </c>
      <c r="C10" s="7">
        <v>40</v>
      </c>
      <c r="D10" s="8">
        <f t="shared" si="1"/>
        <v>0.28867513459481292</v>
      </c>
    </row>
    <row r="11" spans="1:4" ht="16.5" thickTop="1" thickBot="1">
      <c r="A11" s="7">
        <v>-2.7E-2</v>
      </c>
      <c r="B11" s="8">
        <f t="shared" si="0"/>
        <v>3.2699999999999999E-3</v>
      </c>
      <c r="C11" s="7">
        <v>34</v>
      </c>
      <c r="D11" s="8">
        <f t="shared" si="1"/>
        <v>0.28867513459481292</v>
      </c>
    </row>
    <row r="12" spans="1:4" ht="16.5" thickTop="1" thickBot="1">
      <c r="A12" s="7">
        <v>-2.3E-2</v>
      </c>
      <c r="B12" s="8">
        <f t="shared" si="0"/>
        <v>3.2300000000000002E-3</v>
      </c>
      <c r="C12" s="7">
        <v>30</v>
      </c>
      <c r="D12" s="8">
        <f t="shared" si="1"/>
        <v>0.28867513459481292</v>
      </c>
    </row>
    <row r="13" spans="1:4" ht="16.5" thickTop="1" thickBot="1">
      <c r="A13" s="7">
        <v>-1.7000000000000001E-2</v>
      </c>
      <c r="B13" s="8">
        <f t="shared" si="0"/>
        <v>3.1700000000000001E-3</v>
      </c>
      <c r="C13" s="7">
        <v>24</v>
      </c>
      <c r="D13" s="8">
        <f t="shared" si="1"/>
        <v>0.28867513459481292</v>
      </c>
    </row>
    <row r="14" spans="1:4" ht="16.5" thickTop="1" thickBot="1">
      <c r="A14" s="7">
        <v>-1.2999999999999999E-2</v>
      </c>
      <c r="B14" s="8">
        <f t="shared" si="0"/>
        <v>3.13E-3</v>
      </c>
      <c r="C14" s="7">
        <v>20</v>
      </c>
      <c r="D14" s="8">
        <f t="shared" si="1"/>
        <v>0.28867513459481292</v>
      </c>
    </row>
    <row r="15" spans="1:4" ht="16.5" thickTop="1" thickBot="1">
      <c r="A15" s="7">
        <v>-0.01</v>
      </c>
      <c r="B15" s="8">
        <f t="shared" si="0"/>
        <v>3.0999999999999999E-3</v>
      </c>
      <c r="C15" s="7">
        <v>14</v>
      </c>
      <c r="D15" s="8">
        <f t="shared" si="1"/>
        <v>0.28867513459481292</v>
      </c>
    </row>
    <row r="16" spans="1:4" ht="16.5" thickTop="1" thickBot="1">
      <c r="A16" s="7">
        <v>-7.0000000000000001E-3</v>
      </c>
      <c r="B16" s="8">
        <f t="shared" si="0"/>
        <v>3.0700000000000002E-3</v>
      </c>
      <c r="C16" s="7">
        <v>10</v>
      </c>
      <c r="D16" s="8">
        <f t="shared" si="1"/>
        <v>0.28867513459481292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54D7-07D4-4BFC-A32C-1EEC6A576A5C}">
  <dimension ref="A1:D16"/>
  <sheetViews>
    <sheetView workbookViewId="0">
      <selection sqref="A1:D16"/>
    </sheetView>
  </sheetViews>
  <sheetFormatPr defaultRowHeight="14.25"/>
  <sheetData>
    <row r="1" spans="1:4" ht="16.5" thickTop="1" thickBot="1">
      <c r="A1" s="7" t="s">
        <v>0</v>
      </c>
      <c r="B1" s="8" t="s">
        <v>1</v>
      </c>
      <c r="C1" s="7" t="s">
        <v>2</v>
      </c>
      <c r="D1" s="8" t="s">
        <v>3</v>
      </c>
    </row>
    <row r="2" spans="1:4" ht="16.5" thickTop="1" thickBot="1">
      <c r="A2" s="7">
        <v>0.19</v>
      </c>
      <c r="B2" s="8">
        <f t="shared" ref="B2:B16" si="0">ABS(A2*(1/100))+0.003</f>
        <v>4.8999999999999998E-3</v>
      </c>
      <c r="C2" s="7">
        <v>80</v>
      </c>
      <c r="D2" s="8">
        <f t="shared" ref="D2:D16" si="1">1/SQRT(12)</f>
        <v>0.28867513459481292</v>
      </c>
    </row>
    <row r="3" spans="1:4" ht="16.5" thickTop="1" thickBot="1">
      <c r="A3" s="7">
        <v>0.122</v>
      </c>
      <c r="B3" s="8">
        <f t="shared" si="0"/>
        <v>4.2199999999999998E-3</v>
      </c>
      <c r="C3" s="7">
        <v>74</v>
      </c>
      <c r="D3" s="8">
        <f t="shared" si="1"/>
        <v>0.28867513459481292</v>
      </c>
    </row>
    <row r="4" spans="1:4" ht="16.5" thickTop="1" thickBot="1">
      <c r="A4" s="7">
        <v>0.10299999999999999</v>
      </c>
      <c r="B4" s="8">
        <f t="shared" si="0"/>
        <v>4.0299999999999997E-3</v>
      </c>
      <c r="C4" s="7">
        <v>70</v>
      </c>
      <c r="D4" s="8">
        <f t="shared" si="1"/>
        <v>0.28867513459481292</v>
      </c>
    </row>
    <row r="5" spans="1:4" ht="16.5" thickTop="1" thickBot="1">
      <c r="A5" s="10">
        <v>7.9000000000000001E-2</v>
      </c>
      <c r="B5" s="8">
        <f t="shared" si="0"/>
        <v>3.79E-3</v>
      </c>
      <c r="C5" s="7">
        <v>64</v>
      </c>
      <c r="D5" s="8">
        <f t="shared" si="1"/>
        <v>0.28867513459481292</v>
      </c>
    </row>
    <row r="6" spans="1:4" ht="16.5" thickTop="1" thickBot="1">
      <c r="A6" s="9">
        <v>6.5000000000000002E-2</v>
      </c>
      <c r="B6" s="8">
        <f t="shared" si="0"/>
        <v>3.65E-3</v>
      </c>
      <c r="C6" s="7">
        <v>60</v>
      </c>
      <c r="D6" s="8">
        <f t="shared" si="1"/>
        <v>0.28867513459481292</v>
      </c>
    </row>
    <row r="7" spans="1:4" ht="16.5" thickTop="1" thickBot="1">
      <c r="A7" s="11">
        <v>5.6000000000000001E-2</v>
      </c>
      <c r="B7" s="8">
        <f t="shared" si="0"/>
        <v>3.5600000000000002E-3</v>
      </c>
      <c r="C7" s="11">
        <v>54</v>
      </c>
      <c r="D7" s="11">
        <f t="shared" si="1"/>
        <v>0.28867513459481292</v>
      </c>
    </row>
    <row r="8" spans="1:4" ht="16.5" thickTop="1" thickBot="1">
      <c r="A8" s="7">
        <v>4.3999999999999997E-2</v>
      </c>
      <c r="B8" s="8">
        <f t="shared" si="0"/>
        <v>3.4399999999999999E-3</v>
      </c>
      <c r="C8" s="7">
        <v>50</v>
      </c>
      <c r="D8" s="8">
        <f t="shared" si="1"/>
        <v>0.28867513459481292</v>
      </c>
    </row>
    <row r="9" spans="1:4" ht="16.5" thickTop="1" thickBot="1">
      <c r="A9" s="7">
        <v>3.5999999999999997E-2</v>
      </c>
      <c r="B9" s="8">
        <f t="shared" si="0"/>
        <v>3.3600000000000001E-3</v>
      </c>
      <c r="C9" s="7">
        <v>44</v>
      </c>
      <c r="D9" s="8">
        <f t="shared" si="1"/>
        <v>0.28867513459481292</v>
      </c>
    </row>
    <row r="10" spans="1:4" ht="16.5" thickTop="1" thickBot="1">
      <c r="A10" s="7">
        <v>3.1E-2</v>
      </c>
      <c r="B10" s="8">
        <f t="shared" si="0"/>
        <v>3.31E-3</v>
      </c>
      <c r="C10" s="7">
        <v>40</v>
      </c>
      <c r="D10" s="8">
        <f t="shared" si="1"/>
        <v>0.28867513459481292</v>
      </c>
    </row>
    <row r="11" spans="1:4" ht="16.5" thickTop="1" thickBot="1">
      <c r="A11" s="7">
        <v>2.5999999999999999E-2</v>
      </c>
      <c r="B11" s="8">
        <f t="shared" si="0"/>
        <v>3.2599999999999999E-3</v>
      </c>
      <c r="C11" s="7">
        <v>34</v>
      </c>
      <c r="D11" s="8">
        <f t="shared" si="1"/>
        <v>0.28867513459481292</v>
      </c>
    </row>
    <row r="12" spans="1:4" ht="16.5" thickTop="1" thickBot="1">
      <c r="A12" s="7">
        <v>2.3E-2</v>
      </c>
      <c r="B12" s="8">
        <f t="shared" si="0"/>
        <v>3.2300000000000002E-3</v>
      </c>
      <c r="C12" s="7">
        <v>30</v>
      </c>
      <c r="D12" s="8">
        <f t="shared" si="1"/>
        <v>0.28867513459481292</v>
      </c>
    </row>
    <row r="13" spans="1:4" ht="16.5" thickTop="1" thickBot="1">
      <c r="A13" s="11">
        <v>1.6E-2</v>
      </c>
      <c r="B13" s="8">
        <f t="shared" si="0"/>
        <v>3.16E-3</v>
      </c>
      <c r="C13" s="11">
        <v>24</v>
      </c>
      <c r="D13" s="11">
        <f t="shared" si="1"/>
        <v>0.28867513459481292</v>
      </c>
    </row>
    <row r="14" spans="1:4" ht="16.5" thickTop="1" thickBot="1">
      <c r="A14" s="12">
        <v>1.2999999999999999E-2</v>
      </c>
      <c r="B14" s="8">
        <f t="shared" si="0"/>
        <v>3.13E-3</v>
      </c>
      <c r="C14" s="12">
        <v>20</v>
      </c>
      <c r="D14" s="12">
        <f t="shared" si="1"/>
        <v>0.28867513459481292</v>
      </c>
    </row>
    <row r="15" spans="1:4" ht="16.5" thickTop="1" thickBot="1">
      <c r="A15" s="12">
        <v>8.0000000000000002E-3</v>
      </c>
      <c r="B15" s="8">
        <f t="shared" si="0"/>
        <v>3.0800000000000003E-3</v>
      </c>
      <c r="C15" s="12">
        <v>14</v>
      </c>
      <c r="D15" s="12">
        <f t="shared" si="1"/>
        <v>0.28867513459481292</v>
      </c>
    </row>
    <row r="16" spans="1:4" ht="16.5" thickTop="1" thickBot="1">
      <c r="A16" s="12">
        <v>6.0000000000000001E-3</v>
      </c>
      <c r="B16" s="8">
        <f t="shared" si="0"/>
        <v>3.0600000000000002E-3</v>
      </c>
      <c r="C16" s="12">
        <v>10</v>
      </c>
      <c r="D16" s="12">
        <f t="shared" si="1"/>
        <v>0.28867513459481292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F67E-0749-4759-8ACF-9A1592264A89}">
  <dimension ref="A1:D17"/>
  <sheetViews>
    <sheetView workbookViewId="0">
      <selection sqref="A1:D16"/>
    </sheetView>
  </sheetViews>
  <sheetFormatPr defaultRowHeight="14.25"/>
  <sheetData>
    <row r="1" spans="1:4" ht="16.5" thickTop="1" thickBot="1">
      <c r="A1" s="7" t="s">
        <v>0</v>
      </c>
      <c r="B1" s="8" t="s">
        <v>1</v>
      </c>
      <c r="C1" s="7" t="s">
        <v>2</v>
      </c>
      <c r="D1" s="8" t="s">
        <v>3</v>
      </c>
    </row>
    <row r="2" spans="1:4" ht="16.5" thickTop="1" thickBot="1">
      <c r="A2" s="7">
        <v>-0.18099999999999999</v>
      </c>
      <c r="B2" s="8">
        <f t="shared" ref="B2:B16" si="0">ABS(A2*(1/100))+0.003</f>
        <v>4.81E-3</v>
      </c>
      <c r="C2" s="7">
        <v>80</v>
      </c>
      <c r="D2" s="8">
        <f t="shared" ref="D2:D16" si="1">1/SQRT(12)</f>
        <v>0.28867513459481292</v>
      </c>
    </row>
    <row r="3" spans="1:4" ht="16.5" thickTop="1" thickBot="1">
      <c r="A3" s="7">
        <v>-0.124</v>
      </c>
      <c r="B3" s="8">
        <f t="shared" si="0"/>
        <v>4.2399999999999998E-3</v>
      </c>
      <c r="C3" s="7">
        <v>74</v>
      </c>
      <c r="D3" s="8">
        <f t="shared" si="1"/>
        <v>0.28867513459481292</v>
      </c>
    </row>
    <row r="4" spans="1:4" ht="16.5" thickTop="1" thickBot="1">
      <c r="A4" s="7">
        <v>-9.7000000000000003E-2</v>
      </c>
      <c r="B4" s="8">
        <f t="shared" si="0"/>
        <v>3.9700000000000004E-3</v>
      </c>
      <c r="C4" s="7">
        <v>70</v>
      </c>
      <c r="D4" s="8">
        <f t="shared" si="1"/>
        <v>0.28867513459481292</v>
      </c>
    </row>
    <row r="5" spans="1:4" ht="16.5" thickTop="1" thickBot="1">
      <c r="A5" s="7">
        <v>-7.6999999999999999E-2</v>
      </c>
      <c r="B5" s="8">
        <f t="shared" si="0"/>
        <v>3.7699999999999999E-3</v>
      </c>
      <c r="C5" s="7">
        <v>64</v>
      </c>
      <c r="D5" s="8">
        <f t="shared" si="1"/>
        <v>0.28867513459481292</v>
      </c>
    </row>
    <row r="6" spans="1:4" ht="16.5" thickTop="1" thickBot="1">
      <c r="A6" s="9">
        <v>-6.8000000000000005E-2</v>
      </c>
      <c r="B6" s="8">
        <f t="shared" si="0"/>
        <v>3.6800000000000001E-3</v>
      </c>
      <c r="C6" s="7">
        <v>60</v>
      </c>
      <c r="D6" s="8">
        <f t="shared" si="1"/>
        <v>0.28867513459481292</v>
      </c>
    </row>
    <row r="7" spans="1:4" ht="16.5" thickTop="1" thickBot="1">
      <c r="A7" s="7">
        <v>-4.9000000000000002E-2</v>
      </c>
      <c r="B7" s="8">
        <f t="shared" si="0"/>
        <v>3.49E-3</v>
      </c>
      <c r="C7" s="7">
        <v>54</v>
      </c>
      <c r="D7" s="8">
        <f t="shared" si="1"/>
        <v>0.28867513459481292</v>
      </c>
    </row>
    <row r="8" spans="1:4" ht="16.5" thickTop="1" thickBot="1">
      <c r="A8" s="7">
        <v>-4.3999999999999997E-2</v>
      </c>
      <c r="B8" s="8">
        <f t="shared" si="0"/>
        <v>3.4399999999999999E-3</v>
      </c>
      <c r="C8" s="7">
        <v>50</v>
      </c>
      <c r="D8" s="8">
        <f t="shared" si="1"/>
        <v>0.28867513459481292</v>
      </c>
    </row>
    <row r="9" spans="1:4" ht="16.5" thickTop="1" thickBot="1">
      <c r="A9" s="7">
        <v>-3.7999999999999999E-2</v>
      </c>
      <c r="B9" s="8">
        <f t="shared" si="0"/>
        <v>3.3800000000000002E-3</v>
      </c>
      <c r="C9" s="7">
        <v>44</v>
      </c>
      <c r="D9" s="8">
        <f t="shared" si="1"/>
        <v>0.28867513459481292</v>
      </c>
    </row>
    <row r="10" spans="1:4" ht="16.5" thickTop="1" thickBot="1">
      <c r="A10" s="7">
        <v>-3.3000000000000002E-2</v>
      </c>
      <c r="B10" s="8">
        <f t="shared" si="0"/>
        <v>3.3300000000000001E-3</v>
      </c>
      <c r="C10" s="7">
        <v>40</v>
      </c>
      <c r="D10" s="8">
        <f t="shared" si="1"/>
        <v>0.28867513459481292</v>
      </c>
    </row>
    <row r="11" spans="1:4" ht="16.5" thickTop="1" thickBot="1">
      <c r="A11" s="7">
        <v>-2.4E-2</v>
      </c>
      <c r="B11" s="8">
        <f t="shared" si="0"/>
        <v>3.2400000000000003E-3</v>
      </c>
      <c r="C11" s="7">
        <v>34</v>
      </c>
      <c r="D11" s="8">
        <f t="shared" si="1"/>
        <v>0.28867513459481292</v>
      </c>
    </row>
    <row r="12" spans="1:4" ht="16.5" thickTop="1" thickBot="1">
      <c r="A12" s="7">
        <v>-2.3E-2</v>
      </c>
      <c r="B12" s="8">
        <f t="shared" si="0"/>
        <v>3.2300000000000002E-3</v>
      </c>
      <c r="C12" s="7">
        <v>30</v>
      </c>
      <c r="D12" s="8">
        <f t="shared" si="1"/>
        <v>0.28867513459481292</v>
      </c>
    </row>
    <row r="13" spans="1:4" ht="16.5" thickTop="1" thickBot="1">
      <c r="A13" s="7">
        <v>-1.4999999999999999E-2</v>
      </c>
      <c r="B13" s="8">
        <f t="shared" si="0"/>
        <v>3.15E-3</v>
      </c>
      <c r="C13" s="7">
        <v>24</v>
      </c>
      <c r="D13" s="8">
        <f t="shared" si="1"/>
        <v>0.28867513459481292</v>
      </c>
    </row>
    <row r="14" spans="1:4" ht="16.5" thickTop="1" thickBot="1">
      <c r="A14" s="9">
        <v>-1.4E-2</v>
      </c>
      <c r="B14" s="8">
        <f t="shared" si="0"/>
        <v>3.14E-3</v>
      </c>
      <c r="C14" s="7">
        <v>20</v>
      </c>
      <c r="D14" s="8">
        <f t="shared" si="1"/>
        <v>0.28867513459481292</v>
      </c>
    </row>
    <row r="15" spans="1:4" ht="16.5" thickTop="1" thickBot="1">
      <c r="A15" s="7">
        <v>-8.9999999999999993E-3</v>
      </c>
      <c r="B15" s="8">
        <f t="shared" si="0"/>
        <v>3.0899999999999999E-3</v>
      </c>
      <c r="C15" s="7">
        <v>14</v>
      </c>
      <c r="D15" s="8">
        <f t="shared" si="1"/>
        <v>0.28867513459481292</v>
      </c>
    </row>
    <row r="16" spans="1:4" ht="16.5" thickTop="1" thickBot="1">
      <c r="A16" s="7">
        <v>-7.0000000000000001E-3</v>
      </c>
      <c r="B16" s="8">
        <f t="shared" si="0"/>
        <v>3.0700000000000002E-3</v>
      </c>
      <c r="C16" s="7">
        <v>10</v>
      </c>
      <c r="D16" s="8">
        <f t="shared" si="1"/>
        <v>0.28867513459481292</v>
      </c>
    </row>
    <row r="17" ht="1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9873-1E51-46E1-A7DC-D38C19CF1588}">
  <dimension ref="A1:D17"/>
  <sheetViews>
    <sheetView tabSelected="1" workbookViewId="0">
      <selection activeCell="L13" sqref="L13"/>
    </sheetView>
  </sheetViews>
  <sheetFormatPr defaultRowHeight="14.25"/>
  <sheetData>
    <row r="1" spans="1:4" ht="16.5" thickTop="1" thickBot="1">
      <c r="A1" s="7" t="s">
        <v>0</v>
      </c>
      <c r="B1" s="8" t="s">
        <v>1</v>
      </c>
      <c r="C1" s="7" t="s">
        <v>2</v>
      </c>
      <c r="D1" s="8" t="s">
        <v>3</v>
      </c>
    </row>
    <row r="2" spans="1:4" ht="16.5" thickTop="1" thickBot="1">
      <c r="A2" s="7">
        <v>0.251</v>
      </c>
      <c r="B2" s="8">
        <f t="shared" ref="B2:B16" si="0">ABS(A2*(1/100))+0.003</f>
        <v>5.5100000000000001E-3</v>
      </c>
      <c r="C2" s="7">
        <v>80</v>
      </c>
      <c r="D2" s="8">
        <f t="shared" ref="D2:D16" si="1">1/SQRT(12)</f>
        <v>0.28867513459481292</v>
      </c>
    </row>
    <row r="3" spans="1:4" ht="16.5" thickTop="1" thickBot="1">
      <c r="A3" s="7">
        <v>0.14399999999999999</v>
      </c>
      <c r="B3" s="8">
        <f t="shared" si="0"/>
        <v>4.4399999999999995E-3</v>
      </c>
      <c r="C3" s="7">
        <v>74</v>
      </c>
      <c r="D3" s="8">
        <f t="shared" si="1"/>
        <v>0.28867513459481292</v>
      </c>
    </row>
    <row r="4" spans="1:4" ht="16.5" thickTop="1" thickBot="1">
      <c r="A4" s="7">
        <v>0.10299999999999999</v>
      </c>
      <c r="B4" s="8">
        <f t="shared" si="0"/>
        <v>4.0299999999999997E-3</v>
      </c>
      <c r="C4" s="7">
        <v>70</v>
      </c>
      <c r="D4" s="8">
        <f t="shared" si="1"/>
        <v>0.28867513459481292</v>
      </c>
    </row>
    <row r="5" spans="1:4" ht="16.5" thickTop="1" thickBot="1">
      <c r="A5" s="7">
        <v>7.6999999999999999E-2</v>
      </c>
      <c r="B5" s="8">
        <f t="shared" si="0"/>
        <v>3.7699999999999999E-3</v>
      </c>
      <c r="C5" s="7">
        <v>64</v>
      </c>
      <c r="D5" s="8">
        <f t="shared" si="1"/>
        <v>0.28867513459481292</v>
      </c>
    </row>
    <row r="6" spans="1:4" ht="16.5" thickTop="1" thickBot="1">
      <c r="A6" s="9">
        <v>7.0000000000000007E-2</v>
      </c>
      <c r="B6" s="8">
        <f t="shared" si="0"/>
        <v>3.7000000000000002E-3</v>
      </c>
      <c r="C6" s="7">
        <v>60</v>
      </c>
      <c r="D6" s="8">
        <f t="shared" si="1"/>
        <v>0.28867513459481292</v>
      </c>
    </row>
    <row r="7" spans="1:4" ht="16.5" thickTop="1" thickBot="1">
      <c r="A7" s="7">
        <v>5.2999999999999999E-2</v>
      </c>
      <c r="B7" s="8">
        <f t="shared" si="0"/>
        <v>3.5300000000000002E-3</v>
      </c>
      <c r="C7" s="7">
        <v>54</v>
      </c>
      <c r="D7" s="8">
        <f t="shared" si="1"/>
        <v>0.28867513459481292</v>
      </c>
    </row>
    <row r="8" spans="1:4" ht="16.5" thickTop="1" thickBot="1">
      <c r="A8" s="7">
        <v>4.4999999999999998E-2</v>
      </c>
      <c r="B8" s="8">
        <f t="shared" si="0"/>
        <v>3.4499999999999999E-3</v>
      </c>
      <c r="C8" s="7">
        <v>50</v>
      </c>
      <c r="D8" s="8">
        <f t="shared" si="1"/>
        <v>0.28867513459481292</v>
      </c>
    </row>
    <row r="9" spans="1:4" ht="16.5" thickTop="1" thickBot="1">
      <c r="A9" s="7">
        <v>3.5999999999999997E-2</v>
      </c>
      <c r="B9" s="8">
        <f t="shared" si="0"/>
        <v>3.3600000000000001E-3</v>
      </c>
      <c r="C9" s="7">
        <v>44</v>
      </c>
      <c r="D9" s="8">
        <f t="shared" si="1"/>
        <v>0.28867513459481292</v>
      </c>
    </row>
    <row r="10" spans="1:4" ht="16.5" thickTop="1" thickBot="1">
      <c r="A10" s="7">
        <v>0.03</v>
      </c>
      <c r="B10" s="8">
        <f t="shared" si="0"/>
        <v>3.3E-3</v>
      </c>
      <c r="C10" s="7">
        <v>40</v>
      </c>
      <c r="D10" s="8">
        <f t="shared" si="1"/>
        <v>0.28867513459481292</v>
      </c>
    </row>
    <row r="11" spans="1:4" ht="16.5" thickTop="1" thickBot="1">
      <c r="A11" s="7">
        <v>2.5000000000000001E-2</v>
      </c>
      <c r="B11" s="8">
        <f t="shared" si="0"/>
        <v>3.2500000000000003E-3</v>
      </c>
      <c r="C11" s="7">
        <v>34</v>
      </c>
      <c r="D11" s="8">
        <f t="shared" si="1"/>
        <v>0.28867513459481292</v>
      </c>
    </row>
    <row r="12" spans="1:4" ht="16.5" thickTop="1" thickBot="1">
      <c r="A12" s="7">
        <v>1.9E-2</v>
      </c>
      <c r="B12" s="8">
        <f t="shared" si="0"/>
        <v>3.1900000000000001E-3</v>
      </c>
      <c r="C12" s="7">
        <v>30</v>
      </c>
      <c r="D12" s="8">
        <f t="shared" si="1"/>
        <v>0.28867513459481292</v>
      </c>
    </row>
    <row r="13" spans="1:4" ht="16.5" thickTop="1" thickBot="1">
      <c r="A13" s="7">
        <v>1.6E-2</v>
      </c>
      <c r="B13" s="8">
        <f t="shared" si="0"/>
        <v>3.16E-3</v>
      </c>
      <c r="C13" s="7">
        <v>24</v>
      </c>
      <c r="D13" s="8">
        <f t="shared" si="1"/>
        <v>0.28867513459481292</v>
      </c>
    </row>
    <row r="14" spans="1:4" ht="16.5" thickTop="1" thickBot="1">
      <c r="A14" s="7">
        <v>1.2E-2</v>
      </c>
      <c r="B14" s="8">
        <f t="shared" si="0"/>
        <v>3.1199999999999999E-3</v>
      </c>
      <c r="C14" s="7">
        <v>20</v>
      </c>
      <c r="D14" s="8">
        <f t="shared" si="1"/>
        <v>0.28867513459481292</v>
      </c>
    </row>
    <row r="15" spans="1:4" ht="16.5" thickTop="1" thickBot="1">
      <c r="A15" s="7">
        <v>8.0000000000000002E-3</v>
      </c>
      <c r="B15" s="8">
        <f t="shared" si="0"/>
        <v>3.0800000000000003E-3</v>
      </c>
      <c r="C15" s="7">
        <v>14</v>
      </c>
      <c r="D15" s="8">
        <f t="shared" si="1"/>
        <v>0.28867513459481292</v>
      </c>
    </row>
    <row r="16" spans="1:4" ht="16.5" thickTop="1" thickBot="1">
      <c r="A16" s="7">
        <v>5.0000000000000001E-3</v>
      </c>
      <c r="B16" s="8">
        <f t="shared" si="0"/>
        <v>3.0500000000000002E-3</v>
      </c>
      <c r="C16" s="7">
        <v>10</v>
      </c>
      <c r="D16" s="8">
        <f t="shared" si="1"/>
        <v>0.28867513459481292</v>
      </c>
    </row>
    <row r="17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2026-04-14T17:39:08Z</dcterms:created>
  <dcterms:modified xsi:type="dcterms:W3CDTF">2026-04-19T09:34:03Z</dcterms:modified>
</cp:coreProperties>
</file>