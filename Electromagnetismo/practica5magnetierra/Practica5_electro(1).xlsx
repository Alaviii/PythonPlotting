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 método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<sst xmlns="http://schemas.openxmlformats.org/spreadsheetml/2006/main" count="124" uniqueCount="45">
  <si>
    <t>mu_0 (N/A^2)</t>
  </si>
  <si>
    <t>M_T (A*m^2)</t>
  </si>
  <si>
    <t>R_T (m)</t>
  </si>
  <si>
    <t>mu_0*M_T/4pi*R_T^3</t>
  </si>
  <si>
    <t>\theta (rad)</t>
  </si>
  <si>
    <t>B*\hat{theta}(\theta) (\mu m)</t>
  </si>
  <si>
    <t>m_a (g)</t>
  </si>
  <si>
    <t>err m_a (g)</t>
  </si>
  <si>
    <t>a (mm)</t>
  </si>
  <si>
    <t>err a (mm)</t>
  </si>
  <si>
    <t>b (mm)</t>
  </si>
  <si>
    <t>err b(mm)</t>
  </si>
  <si>
    <t>0.02</t>
  </si>
  <si>
    <t>0.1</t>
  </si>
  <si>
    <t>err relativo</t>
  </si>
  <si>
    <t>a</t>
  </si>
  <si>
    <t>b</t>
  </si>
  <si>
    <t>R_c (mm)</t>
  </si>
  <si>
    <t>err R_c (mm)</t>
  </si>
  <si>
    <t>d (mm)</t>
  </si>
  <si>
    <t>err d (mm)</t>
  </si>
  <si>
    <t>K (mT/A)</t>
  </si>
  <si>
    <t>I (A)</t>
  </si>
  <si>
    <t>err I</t>
  </si>
  <si>
    <t>$alpha$</t>
  </si>
  <si>
    <t xml:space="preserve"> err alpha</t>
  </si>
  <si>
    <t>Bh</t>
  </si>
  <si>
    <t>tan alpha</t>
  </si>
  <si>
    <t>err tan alpha</t>
  </si>
  <si>
    <t>1/Ba</t>
  </si>
  <si>
    <t>err 1/Ba</t>
  </si>
  <si>
    <t>Cables cruzados</t>
  </si>
  <si>
    <t>OTRO SET DE MEDIDAS</t>
  </si>
  <si>
    <t>-&gt;este set está hecho con otra aguja porque nos apetecío</t>
  </si>
  <si>
    <t>PROMEDIOS</t>
  </si>
  <si>
    <t>B</t>
  </si>
  <si>
    <t>err</t>
  </si>
  <si>
    <t>I</t>
  </si>
  <si>
    <t>t</t>
  </si>
  <si>
    <t>err t</t>
  </si>
  <si>
    <t>n</t>
  </si>
  <si>
    <t>x</t>
  </si>
  <si>
    <t>err x</t>
  </si>
  <si>
    <t>y</t>
  </si>
  <si>
    <t>err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</si>
</sst>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6">
    <border/>
    <border>
      <left style="thick">
        <color rgb="FF351C75"/>
      </left>
      <right style="thick">
        <color rgb="FF351C75"/>
      </right>
      <top style="thick">
        <color rgb="FF351C75"/>
      </top>
      <bottom style="thick">
        <color rgb="FF351C75"/>
      </bottom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1155CC"/>
      </bottom>
    </border>
    <border>
      <left style="thick">
        <color rgb="FF134F5C"/>
      </left>
      <right style="thick">
        <color rgb="FF134F5C"/>
      </right>
      <top style="thick">
        <color rgb="FF134F5C"/>
      </top>
      <bottom style="thick">
        <color rgb="FF134F5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11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11" xfId="0" applyAlignment="1" applyBorder="1" applyFont="1" applyNumberFormat="1">
      <alignment horizontal="center"/>
    </xf>
    <xf borderId="1" fillId="2" fontId="1" numFmtId="4" xfId="0" applyAlignment="1" applyBorder="1" applyFont="1" applyNumberFormat="1">
      <alignment horizontal="center"/>
    </xf>
    <xf borderId="2" fillId="3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5" fillId="6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/>
    </xf>
    <xf borderId="5" fillId="5" fontId="1" numFmtId="164" xfId="0" applyAlignment="1" applyBorder="1" applyFont="1" applyNumberForma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5" fillId="7" fontId="1" numFmtId="0" xfId="0" applyAlignment="1" applyBorder="1" applyFont="1">
      <alignment horizontal="center"/>
    </xf>
    <xf borderId="5" fillId="8" fontId="1" numFmtId="0" xfId="0" applyAlignment="1" applyBorder="1" applyFill="1" applyFont="1">
      <alignment horizontal="center" readingOrder="0"/>
    </xf>
    <xf borderId="5" fillId="8" fontId="1" numFmtId="0" xfId="0" applyAlignment="1" applyBorder="1" applyFont="1">
      <alignment horizontal="center"/>
    </xf>
    <xf borderId="5" fillId="9" fontId="1" numFmtId="0" xfId="0" applyAlignment="1" applyBorder="1" applyFill="1" applyFont="1">
      <alignment horizontal="center" readingOrder="0"/>
    </xf>
    <xf borderId="5" fillId="9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5" fillId="5" fontId="1" numFmtId="3" xfId="0" applyAlignment="1" applyBorder="1" applyFont="1" applyNumberFormat="1">
      <alignment horizontal="center" readingOrder="0"/>
    </xf>
    <xf borderId="5" fillId="10" fontId="1" numFmtId="0" xfId="0" applyAlignment="1" applyBorder="1" applyFill="1" applyFont="1">
      <alignment horizontal="center" readingOrder="0"/>
    </xf>
    <xf borderId="5" fillId="10" fontId="1" numFmtId="0" xfId="0" applyAlignment="1" applyBorder="1" applyFont="1">
      <alignment horizontal="center"/>
    </xf>
    <xf borderId="5" fillId="11" fontId="1" numFmtId="0" xfId="0" applyAlignment="1" applyBorder="1" applyFill="1" applyFont="1">
      <alignment horizontal="center" readingOrder="0"/>
    </xf>
    <xf borderId="5" fillId="11" fontId="1" numFmtId="0" xfId="0" applyAlignment="1" applyBorder="1" applyFont="1">
      <alignment horizontal="center"/>
    </xf>
    <xf borderId="0" fillId="0" fontId="1" numFmtId="0" xfId="0" applyAlignment="1" applyFont="1">
      <alignment horizontal="left"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1/Ba frente a tan alpha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'Primer método'!$K$12:$K$26</c:f>
            </c:numRef>
          </c:xVal>
          <c:yVal>
            <c:numRef>
              <c:f>'Primer método'!$I$12:$I$26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19512"/>
        <c:axId val="626190249"/>
      </c:scatterChart>
      <c:valAx>
        <c:axId val="3210195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 alpha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190249"/>
      </c:valAx>
      <c:valAx>
        <c:axId val="626190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1/Ba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019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método'!$K$29:$K$43</c:f>
            </c:numRef>
          </c:xVal>
          <c:yVal>
            <c:numRef>
              <c:f>'Primer método'!$I$29:$I$43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214633"/>
        <c:axId val="830737657"/>
      </c:scatterChart>
      <c:valAx>
        <c:axId val="823214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737657"/>
      </c:valAx>
      <c:valAx>
        <c:axId val="830737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214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método'!$I$64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método'!$K$65:$K$78</c:f>
            </c:numRef>
          </c:xVal>
          <c:yVal>
            <c:numRef>
              <c:f>'Primer método'!$I$65:$I$78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56060"/>
        <c:axId val="1323150744"/>
      </c:scatterChart>
      <c:valAx>
        <c:axId val="9721560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150744"/>
      </c:valAx>
      <c:valAx>
        <c:axId val="1323150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156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método'!$I$46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método'!$K$47:$K$61</c:f>
            </c:numRef>
          </c:xVal>
          <c:yVal>
            <c:numRef>
              <c:f>'Primer método'!$I$47:$I$61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120631"/>
        <c:axId val="1974033774"/>
      </c:scatterChart>
      <c:valAx>
        <c:axId val="8301206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033774"/>
      </c:valAx>
      <c:valAx>
        <c:axId val="1974033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120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método'!$I$81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método'!$K$82:$K$96</c:f>
            </c:numRef>
          </c:xVal>
          <c:yVal>
            <c:numRef>
              <c:f>'Primer método'!$I$82:$I$96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11795"/>
        <c:axId val="1209570713"/>
      </c:scatterChart>
      <c:valAx>
        <c:axId val="1138117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570713"/>
      </c:valAx>
      <c:valAx>
        <c:axId val="1209570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11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tan alpha y 1/Ba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'Primer método'!$I$99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'Primer método'!$K$100:$K$113</c:f>
            </c:numRef>
          </c:xVal>
          <c:yVal>
            <c:numRef>
              <c:f>'Primer método'!$I$100:$I$113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488846"/>
        <c:axId val="417661005"/>
      </c:scatterChart>
      <c:valAx>
        <c:axId val="16284888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661005"/>
      </c:valAx>
      <c:valAx>
        <c:axId val="41766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488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 y 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2'!$J$11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'Hoja 2'!$H$12:$H$26</c:f>
            </c:numRef>
          </c:xVal>
          <c:yVal>
            <c:numRef>
              <c:f>'Hoja 2'!$J$12:$J$26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08519"/>
        <c:axId val="749526966"/>
      </c:scatterChart>
      <c:valAx>
        <c:axId val="2549085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526966"/>
      </c:valAx>
      <c:valAx>
        <c:axId val="749526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908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</xdr:colOff>
      <xdr:row>9</xdr:row>
      <xdr:rowOff>76200</xdr:rowOff>
    </xdr:from>
    <xdr:ext cx="4314825" cy="3714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752475</xdr:colOff>
      <xdr:row>26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609600</xdr:colOff>
      <xdr:row>61</xdr:row>
      <xdr:rowOff>209550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219075</xdr:colOff>
      <xdr:row>44</xdr:row>
      <xdr:rowOff>76200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266700</xdr:colOff>
      <xdr:row>79</xdr:row>
      <xdr:rowOff>133350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685800</xdr:colOff>
      <xdr:row>96</xdr:row>
      <xdr:rowOff>66675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666750</xdr:colOff>
      <xdr:row>8</xdr:row>
      <xdr:rowOff>114300</xdr:rowOff>
    </xdr:from>
    <xdr:ext cx="3876675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5.25"/>
    <col customWidth="1" min="4" max="4" width="19.0"/>
    <col customWidth="1" min="5" max="5" width="19.25"/>
    <col customWidth="1" min="7" max="7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>
        <f>4*PI()*10^(-7)</f>
        <v>0.000001256637061</v>
      </c>
      <c r="C3" s="2">
        <f>8*10^(22)</f>
        <v>8E+22</v>
      </c>
      <c r="D3" s="2">
        <f> 6371*10^3</f>
        <v>6371000</v>
      </c>
      <c r="E3" s="4">
        <f>B3*C3/(D3^3*4*PI())</f>
        <v>0.0000309362146</v>
      </c>
      <c r="F3" s="2">
        <v>0.649</v>
      </c>
      <c r="G3" s="5">
        <f>E3*(SIN(PI()/2-F3))*10^(6)</f>
        <v>24.64652909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>
        <v>2.47</v>
      </c>
      <c r="C6" s="6" t="s">
        <v>12</v>
      </c>
      <c r="D6" s="6">
        <v>84.0</v>
      </c>
      <c r="E6" s="6">
        <v>0.1</v>
      </c>
      <c r="F6" s="6">
        <v>10.0</v>
      </c>
      <c r="G6" s="6" t="s">
        <v>13</v>
      </c>
      <c r="H6" s="1"/>
      <c r="I6" s="7" t="s">
        <v>14</v>
      </c>
      <c r="J6" s="7" t="s">
        <v>15</v>
      </c>
      <c r="K6" s="7" t="s">
        <v>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8">
        <f>ABS(J7-G3)/G3</f>
        <v>0.03444726073</v>
      </c>
      <c r="J7" s="8">
        <f t="array" ref="J7">INDEX(LINEST( I12:I26,K12:K26), 1)</f>
        <v>23.79752368</v>
      </c>
      <c r="K7" s="8">
        <f>INTERCEPT(K11:K25,I11:I25 )</f>
        <v>-0.003160620405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9">
        <v>200.0</v>
      </c>
      <c r="C9" s="9">
        <v>1.0</v>
      </c>
      <c r="D9" s="9">
        <v>200.0</v>
      </c>
      <c r="E9" s="9">
        <v>1.0</v>
      </c>
      <c r="F9" s="9">
        <v>0.722</v>
      </c>
      <c r="G9" s="1"/>
      <c r="H9" s="1">
        <f>tan(PI())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0" t="s">
        <v>22</v>
      </c>
      <c r="C11" s="11" t="s">
        <v>23</v>
      </c>
      <c r="D11" s="10" t="s">
        <v>24</v>
      </c>
      <c r="E11" s="11" t="s">
        <v>25</v>
      </c>
      <c r="F11" s="1"/>
      <c r="G11" s="10" t="s">
        <v>26</v>
      </c>
      <c r="H11" s="1"/>
      <c r="I11" s="10" t="s">
        <v>27</v>
      </c>
      <c r="J11" s="11" t="s">
        <v>28</v>
      </c>
      <c r="K11" s="10" t="s">
        <v>29</v>
      </c>
      <c r="L11" s="11" t="s">
        <v>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0">
        <v>1.0</v>
      </c>
      <c r="B12" s="10">
        <v>-0.221</v>
      </c>
      <c r="C12" s="12">
        <f t="shared" ref="C12:C26" si="1">ABS(B12*(1/100))+0.003</f>
        <v>0.00521</v>
      </c>
      <c r="D12" s="10">
        <v>80.0</v>
      </c>
      <c r="E12" s="12">
        <f t="shared" ref="E12:E26" si="2">1/SQRT(12)</f>
        <v>0.2886751346</v>
      </c>
      <c r="F12" s="1"/>
      <c r="G12" s="13">
        <f t="shared" ref="G12:G26" si="3">tan(PI()/2-D12*(PI()/180))*-B12*$F$9*1000</f>
        <v>28.1350857</v>
      </c>
      <c r="H12" s="1"/>
      <c r="I12" s="13">
        <f t="shared" ref="I12:I26" si="4">tan(PI()/2-D12*PI()/180)</f>
        <v>0.1763269807</v>
      </c>
      <c r="J12" s="12">
        <f t="shared" ref="J12:J26" si="5">1/(COS(D12*PI()/180))^2*E12</f>
        <v>9.573459777</v>
      </c>
      <c r="K12" s="13">
        <f t="shared" ref="K12:K26" si="6">-1/(B12*$F$9*1000)</f>
        <v>0.00626715634</v>
      </c>
      <c r="L12" s="12">
        <f t="shared" ref="L12:L26" si="7">1/(B12^2*$F$9)*C12</f>
        <v>0.1477460839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0">
        <v>2.0</v>
      </c>
      <c r="B13" s="10">
        <v>-0.142</v>
      </c>
      <c r="C13" s="12">
        <f t="shared" si="1"/>
        <v>0.00442</v>
      </c>
      <c r="D13" s="10">
        <v>74.0</v>
      </c>
      <c r="E13" s="12">
        <f t="shared" si="2"/>
        <v>0.2886751346</v>
      </c>
      <c r="F13" s="1"/>
      <c r="G13" s="13">
        <f t="shared" si="3"/>
        <v>29.39828393</v>
      </c>
      <c r="H13" s="1"/>
      <c r="I13" s="13">
        <f t="shared" si="4"/>
        <v>0.2867453858</v>
      </c>
      <c r="J13" s="12">
        <f t="shared" si="5"/>
        <v>3.799559299</v>
      </c>
      <c r="K13" s="13">
        <f t="shared" si="6"/>
        <v>0.009753813741</v>
      </c>
      <c r="L13" s="12">
        <f t="shared" si="7"/>
        <v>0.3036046249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0">
        <v>3.0</v>
      </c>
      <c r="B14" s="10">
        <v>-0.104</v>
      </c>
      <c r="C14" s="12">
        <f t="shared" si="1"/>
        <v>0.00404</v>
      </c>
      <c r="D14" s="10">
        <v>70.0</v>
      </c>
      <c r="E14" s="12">
        <f t="shared" si="2"/>
        <v>0.2886751346</v>
      </c>
      <c r="F14" s="1"/>
      <c r="G14" s="13">
        <f t="shared" si="3"/>
        <v>27.32979695</v>
      </c>
      <c r="H14" s="1"/>
      <c r="I14" s="13">
        <f t="shared" si="4"/>
        <v>0.3639702343</v>
      </c>
      <c r="J14" s="12">
        <f t="shared" si="5"/>
        <v>2.467777542</v>
      </c>
      <c r="K14" s="13">
        <f t="shared" si="6"/>
        <v>0.01331770722</v>
      </c>
      <c r="L14" s="12">
        <f t="shared" si="7"/>
        <v>0.5173417037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0">
        <v>4.0</v>
      </c>
      <c r="B15" s="10">
        <v>-0.075</v>
      </c>
      <c r="C15" s="12">
        <f t="shared" si="1"/>
        <v>0.00375</v>
      </c>
      <c r="D15" s="10">
        <v>64.0</v>
      </c>
      <c r="E15" s="12">
        <f t="shared" si="2"/>
        <v>0.2886751346</v>
      </c>
      <c r="F15" s="1"/>
      <c r="G15" s="13">
        <f t="shared" si="3"/>
        <v>26.41071967</v>
      </c>
      <c r="H15" s="1"/>
      <c r="I15" s="13">
        <f t="shared" si="4"/>
        <v>0.4877325886</v>
      </c>
      <c r="J15" s="12">
        <f t="shared" si="5"/>
        <v>1.502192032</v>
      </c>
      <c r="K15" s="13">
        <f t="shared" si="6"/>
        <v>0.01846722068</v>
      </c>
      <c r="L15" s="12">
        <f t="shared" si="7"/>
        <v>0.9233610342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0">
        <v>5.0</v>
      </c>
      <c r="B16" s="14">
        <v>-0.064</v>
      </c>
      <c r="C16" s="12">
        <f t="shared" si="1"/>
        <v>0.00364</v>
      </c>
      <c r="D16" s="10">
        <v>60.0</v>
      </c>
      <c r="E16" s="12">
        <f t="shared" si="2"/>
        <v>0.2886751346</v>
      </c>
      <c r="F16" s="1"/>
      <c r="G16" s="13">
        <f t="shared" si="3"/>
        <v>26.67820124</v>
      </c>
      <c r="H16" s="1"/>
      <c r="I16" s="13">
        <f t="shared" si="4"/>
        <v>0.5773502692</v>
      </c>
      <c r="J16" s="12">
        <f t="shared" si="5"/>
        <v>1.154700538</v>
      </c>
      <c r="K16" s="13">
        <f t="shared" si="6"/>
        <v>0.02164127424</v>
      </c>
      <c r="L16" s="12">
        <f t="shared" si="7"/>
        <v>1.230847472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0">
        <v>6.0</v>
      </c>
      <c r="B17" s="10">
        <v>-0.049</v>
      </c>
      <c r="C17" s="12">
        <f t="shared" si="1"/>
        <v>0.00349</v>
      </c>
      <c r="D17" s="10">
        <v>54.0</v>
      </c>
      <c r="E17" s="12">
        <f t="shared" si="2"/>
        <v>0.2886751346</v>
      </c>
      <c r="F17" s="1"/>
      <c r="G17" s="13">
        <f t="shared" si="3"/>
        <v>25.70362156</v>
      </c>
      <c r="H17" s="1"/>
      <c r="I17" s="13">
        <f t="shared" si="4"/>
        <v>0.726542528</v>
      </c>
      <c r="J17" s="12">
        <f t="shared" si="5"/>
        <v>0.8355491589</v>
      </c>
      <c r="K17" s="13">
        <f t="shared" si="6"/>
        <v>0.02826615411</v>
      </c>
      <c r="L17" s="12">
        <f t="shared" si="7"/>
        <v>2.013242405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0">
        <v>7.0</v>
      </c>
      <c r="B18" s="10">
        <v>-0.045</v>
      </c>
      <c r="C18" s="12">
        <f t="shared" si="1"/>
        <v>0.00345</v>
      </c>
      <c r="D18" s="10">
        <v>50.0</v>
      </c>
      <c r="E18" s="12">
        <f t="shared" si="2"/>
        <v>0.2886751346</v>
      </c>
      <c r="F18" s="1"/>
      <c r="G18" s="13">
        <f t="shared" si="3"/>
        <v>27.26234702</v>
      </c>
      <c r="H18" s="1"/>
      <c r="I18" s="13">
        <f t="shared" si="4"/>
        <v>0.8390996312</v>
      </c>
      <c r="J18" s="12">
        <f t="shared" si="5"/>
        <v>0.6986736806</v>
      </c>
      <c r="K18" s="13">
        <f t="shared" si="6"/>
        <v>0.03077870114</v>
      </c>
      <c r="L18" s="12">
        <f t="shared" si="7"/>
        <v>2.359700421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0">
        <v>8.0</v>
      </c>
      <c r="B19" s="10">
        <v>-0.033</v>
      </c>
      <c r="C19" s="12">
        <f t="shared" si="1"/>
        <v>0.00333</v>
      </c>
      <c r="D19" s="10">
        <v>44.0</v>
      </c>
      <c r="E19" s="12">
        <f t="shared" si="2"/>
        <v>0.2886751346</v>
      </c>
      <c r="F19" s="1"/>
      <c r="G19" s="13">
        <f t="shared" si="3"/>
        <v>24.67254526</v>
      </c>
      <c r="H19" s="1"/>
      <c r="I19" s="13">
        <f t="shared" si="4"/>
        <v>1.035530314</v>
      </c>
      <c r="J19" s="12">
        <f t="shared" si="5"/>
        <v>0.5578805198</v>
      </c>
      <c r="K19" s="13">
        <f t="shared" si="6"/>
        <v>0.0419709561</v>
      </c>
      <c r="L19" s="12">
        <f t="shared" si="7"/>
        <v>4.235251024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0">
        <v>9.0</v>
      </c>
      <c r="B20" s="10">
        <v>-0.029</v>
      </c>
      <c r="C20" s="12">
        <f t="shared" si="1"/>
        <v>0.00329</v>
      </c>
      <c r="D20" s="10">
        <v>40.0</v>
      </c>
      <c r="E20" s="12">
        <f t="shared" si="2"/>
        <v>0.2886751346</v>
      </c>
      <c r="F20" s="1"/>
      <c r="G20" s="13">
        <f t="shared" si="3"/>
        <v>24.95293672</v>
      </c>
      <c r="H20" s="1"/>
      <c r="I20" s="13">
        <f t="shared" si="4"/>
        <v>1.191753593</v>
      </c>
      <c r="J20" s="12">
        <f t="shared" si="5"/>
        <v>0.4919278879</v>
      </c>
      <c r="K20" s="13">
        <f t="shared" si="6"/>
        <v>0.04776005349</v>
      </c>
      <c r="L20" s="12">
        <f t="shared" si="7"/>
        <v>5.418295724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0">
        <v>10.0</v>
      </c>
      <c r="B21" s="10">
        <v>-0.022</v>
      </c>
      <c r="C21" s="12">
        <f t="shared" si="1"/>
        <v>0.00322</v>
      </c>
      <c r="D21" s="10">
        <v>34.0</v>
      </c>
      <c r="E21" s="12">
        <f t="shared" si="2"/>
        <v>0.2886751346</v>
      </c>
      <c r="F21" s="1"/>
      <c r="G21" s="13">
        <f t="shared" si="3"/>
        <v>23.54899842</v>
      </c>
      <c r="H21" s="1"/>
      <c r="I21" s="13">
        <f t="shared" si="4"/>
        <v>1.482560969</v>
      </c>
      <c r="J21" s="12">
        <f t="shared" si="5"/>
        <v>0.4200112759</v>
      </c>
      <c r="K21" s="13">
        <f t="shared" si="6"/>
        <v>0.06295643415</v>
      </c>
      <c r="L21" s="12">
        <f t="shared" si="7"/>
        <v>9.214532634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0">
        <v>11.0</v>
      </c>
      <c r="B22" s="10">
        <v>-0.019</v>
      </c>
      <c r="C22" s="12">
        <f t="shared" si="1"/>
        <v>0.00319</v>
      </c>
      <c r="D22" s="10">
        <v>30.0</v>
      </c>
      <c r="E22" s="12">
        <f t="shared" si="2"/>
        <v>0.2886751346</v>
      </c>
      <c r="F22" s="1"/>
      <c r="G22" s="13">
        <f t="shared" si="3"/>
        <v>23.76027298</v>
      </c>
      <c r="H22" s="1"/>
      <c r="I22" s="13">
        <f t="shared" si="4"/>
        <v>1.732050808</v>
      </c>
      <c r="J22" s="12">
        <f t="shared" si="5"/>
        <v>0.3849001795</v>
      </c>
      <c r="K22" s="13">
        <f t="shared" si="6"/>
        <v>0.07289692375</v>
      </c>
      <c r="L22" s="12">
        <f t="shared" si="7"/>
        <v>12.23900983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0">
        <v>12.0</v>
      </c>
      <c r="B23" s="15">
        <v>-0.015</v>
      </c>
      <c r="C23" s="12">
        <f t="shared" si="1"/>
        <v>0.00315</v>
      </c>
      <c r="D23" s="15">
        <v>24.0</v>
      </c>
      <c r="E23" s="16">
        <f t="shared" si="2"/>
        <v>0.2886751346</v>
      </c>
      <c r="F23" s="1"/>
      <c r="G23" s="13">
        <f t="shared" si="3"/>
        <v>24.32457826</v>
      </c>
      <c r="H23" s="1"/>
      <c r="I23" s="13">
        <f t="shared" si="4"/>
        <v>2.246036774</v>
      </c>
      <c r="J23" s="12">
        <f t="shared" si="5"/>
        <v>0.3458987972</v>
      </c>
      <c r="K23" s="13">
        <f t="shared" si="6"/>
        <v>0.09233610342</v>
      </c>
      <c r="L23" s="12">
        <f t="shared" si="7"/>
        <v>19.39058172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0">
        <v>13.0</v>
      </c>
      <c r="B24" s="17">
        <v>-0.012</v>
      </c>
      <c r="C24" s="12">
        <f t="shared" si="1"/>
        <v>0.00312</v>
      </c>
      <c r="D24" s="17">
        <v>20.0</v>
      </c>
      <c r="E24" s="18">
        <f t="shared" si="2"/>
        <v>0.2886751346</v>
      </c>
      <c r="F24" s="1"/>
      <c r="G24" s="13">
        <f t="shared" si="3"/>
        <v>23.80414436</v>
      </c>
      <c r="H24" s="1"/>
      <c r="I24" s="13">
        <f t="shared" si="4"/>
        <v>2.747477419</v>
      </c>
      <c r="J24" s="12">
        <f t="shared" si="5"/>
        <v>0.3269171801</v>
      </c>
      <c r="K24" s="13">
        <f t="shared" si="6"/>
        <v>0.1154201293</v>
      </c>
      <c r="L24" s="12">
        <f t="shared" si="7"/>
        <v>30.00923361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0">
        <v>14.0</v>
      </c>
      <c r="B25" s="17">
        <v>-0.008</v>
      </c>
      <c r="C25" s="12">
        <f t="shared" si="1"/>
        <v>0.00308</v>
      </c>
      <c r="D25" s="17">
        <v>14.0</v>
      </c>
      <c r="E25" s="18">
        <f t="shared" si="2"/>
        <v>0.2886751346</v>
      </c>
      <c r="F25" s="1"/>
      <c r="G25" s="13">
        <f t="shared" si="3"/>
        <v>23.16627067</v>
      </c>
      <c r="H25" s="1"/>
      <c r="I25" s="13">
        <f t="shared" si="4"/>
        <v>4.010780934</v>
      </c>
      <c r="J25" s="12">
        <f t="shared" si="5"/>
        <v>0.3066204664</v>
      </c>
      <c r="K25" s="13">
        <f t="shared" si="6"/>
        <v>0.1731301939</v>
      </c>
      <c r="L25" s="12">
        <f t="shared" si="7"/>
        <v>66.65512465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0">
        <v>15.0</v>
      </c>
      <c r="B26" s="19">
        <v>-0.006</v>
      </c>
      <c r="C26" s="12">
        <f t="shared" si="1"/>
        <v>0.00306</v>
      </c>
      <c r="D26" s="19">
        <v>10.0</v>
      </c>
      <c r="E26" s="20">
        <f t="shared" si="2"/>
        <v>0.2886751346</v>
      </c>
      <c r="F26" s="1"/>
      <c r="G26" s="13">
        <f t="shared" si="3"/>
        <v>24.56799284</v>
      </c>
      <c r="H26" s="1"/>
      <c r="I26" s="13">
        <f t="shared" si="4"/>
        <v>5.67128182</v>
      </c>
      <c r="J26" s="12">
        <f t="shared" si="5"/>
        <v>0.2976503921</v>
      </c>
      <c r="K26" s="13">
        <f t="shared" si="6"/>
        <v>0.2308402585</v>
      </c>
      <c r="L26" s="12">
        <f t="shared" si="7"/>
        <v>117.7285319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1" t="s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0" t="s">
        <v>22</v>
      </c>
      <c r="C28" s="11" t="s">
        <v>23</v>
      </c>
      <c r="D28" s="10" t="s">
        <v>24</v>
      </c>
      <c r="E28" s="11" t="s">
        <v>25</v>
      </c>
      <c r="F28" s="1"/>
      <c r="G28" s="10" t="s">
        <v>26</v>
      </c>
      <c r="H28" s="1"/>
      <c r="I28" s="10" t="s">
        <v>27</v>
      </c>
      <c r="J28" s="11" t="s">
        <v>28</v>
      </c>
      <c r="K28" s="10" t="s">
        <v>29</v>
      </c>
      <c r="L28" s="11" t="s">
        <v>30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0">
        <v>1.0</v>
      </c>
      <c r="B29" s="10">
        <v>0.194</v>
      </c>
      <c r="C29" s="12">
        <f t="shared" ref="C29:C43" si="8">ABS(B29*(1/100))+0.003</f>
        <v>0.00494</v>
      </c>
      <c r="D29" s="10">
        <v>80.0</v>
      </c>
      <c r="E29" s="12">
        <f t="shared" ref="E29:E43" si="9">1/SQRT(12)</f>
        <v>0.2886751346</v>
      </c>
      <c r="F29" s="1"/>
      <c r="G29" s="13">
        <f t="shared" ref="G29:G43" si="10">tan(PI()/2-D29*(PI()/180))*-B29*$F$9*1000</f>
        <v>-24.69776753</v>
      </c>
      <c r="H29" s="1"/>
      <c r="I29" s="13">
        <f t="shared" ref="I29:I43" si="11">tan(PI()/2-D29*PI()/180)</f>
        <v>0.1763269807</v>
      </c>
      <c r="J29" s="12">
        <f t="shared" ref="J29:J43" si="12">1/(COS(D29*PI()/180))^2*E29</f>
        <v>9.573459777</v>
      </c>
      <c r="K29" s="13">
        <f t="shared" ref="K29:K43" si="13">1/(B29*$F$9*1000)</f>
        <v>0.007139389439</v>
      </c>
      <c r="L29" s="12">
        <f t="shared" ref="L29:L43" si="14">1/(B29^2*$F$9)*C29</f>
        <v>0.1817968239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0">
        <v>2.0</v>
      </c>
      <c r="B30" s="10">
        <v>0.131</v>
      </c>
      <c r="C30" s="12">
        <f t="shared" si="8"/>
        <v>0.00431</v>
      </c>
      <c r="D30" s="10">
        <v>74.0</v>
      </c>
      <c r="E30" s="12">
        <f t="shared" si="9"/>
        <v>0.2886751346</v>
      </c>
      <c r="F30" s="1"/>
      <c r="G30" s="13">
        <f t="shared" si="10"/>
        <v>-27.12095208</v>
      </c>
      <c r="H30" s="1"/>
      <c r="I30" s="13">
        <f t="shared" si="11"/>
        <v>0.2867453858</v>
      </c>
      <c r="J30" s="12">
        <f t="shared" si="12"/>
        <v>3.799559299</v>
      </c>
      <c r="K30" s="13">
        <f t="shared" si="13"/>
        <v>0.01057283627</v>
      </c>
      <c r="L30" s="12">
        <f t="shared" si="14"/>
        <v>0.3478543841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0">
        <v>3.0</v>
      </c>
      <c r="B31" s="10">
        <v>0.104</v>
      </c>
      <c r="C31" s="12">
        <f t="shared" si="8"/>
        <v>0.00404</v>
      </c>
      <c r="D31" s="10">
        <v>70.0</v>
      </c>
      <c r="E31" s="12">
        <f t="shared" si="9"/>
        <v>0.2886751346</v>
      </c>
      <c r="F31" s="1"/>
      <c r="G31" s="13">
        <f t="shared" si="10"/>
        <v>-27.32979695</v>
      </c>
      <c r="H31" s="1"/>
      <c r="I31" s="13">
        <f t="shared" si="11"/>
        <v>0.3639702343</v>
      </c>
      <c r="J31" s="12">
        <f t="shared" si="12"/>
        <v>2.467777542</v>
      </c>
      <c r="K31" s="13">
        <f t="shared" si="13"/>
        <v>0.01331770722</v>
      </c>
      <c r="L31" s="12">
        <f t="shared" si="14"/>
        <v>0.5173417037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0">
        <v>4.0</v>
      </c>
      <c r="B32" s="10">
        <v>0.079</v>
      </c>
      <c r="C32" s="12">
        <f t="shared" si="8"/>
        <v>0.00379</v>
      </c>
      <c r="D32" s="10">
        <v>64.0</v>
      </c>
      <c r="E32" s="12">
        <f t="shared" si="9"/>
        <v>0.2886751346</v>
      </c>
      <c r="F32" s="1"/>
      <c r="G32" s="13">
        <f t="shared" si="10"/>
        <v>-27.81929139</v>
      </c>
      <c r="H32" s="1"/>
      <c r="I32" s="13">
        <f t="shared" si="11"/>
        <v>0.4877325886</v>
      </c>
      <c r="J32" s="12">
        <f t="shared" si="12"/>
        <v>1.502192032</v>
      </c>
      <c r="K32" s="13">
        <f t="shared" si="13"/>
        <v>0.01753217153</v>
      </c>
      <c r="L32" s="12">
        <f t="shared" si="14"/>
        <v>0.8411003812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0">
        <v>5.0</v>
      </c>
      <c r="B33" s="14">
        <v>0.068</v>
      </c>
      <c r="C33" s="12">
        <f t="shared" si="8"/>
        <v>0.00368</v>
      </c>
      <c r="D33" s="10">
        <v>60.0</v>
      </c>
      <c r="E33" s="12">
        <f t="shared" si="9"/>
        <v>0.2886751346</v>
      </c>
      <c r="F33" s="1"/>
      <c r="G33" s="13">
        <f t="shared" si="10"/>
        <v>-28.34558882</v>
      </c>
      <c r="H33" s="1"/>
      <c r="I33" s="13">
        <f t="shared" si="11"/>
        <v>0.5773502692</v>
      </c>
      <c r="J33" s="12">
        <f t="shared" si="12"/>
        <v>1.154700538</v>
      </c>
      <c r="K33" s="13">
        <f t="shared" si="13"/>
        <v>0.02036825811</v>
      </c>
      <c r="L33" s="12">
        <f t="shared" si="14"/>
        <v>1.102282203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0">
        <v>6.0</v>
      </c>
      <c r="B34" s="10">
        <v>0.053</v>
      </c>
      <c r="C34" s="12">
        <f t="shared" si="8"/>
        <v>0.00353</v>
      </c>
      <c r="D34" s="10">
        <v>54.0</v>
      </c>
      <c r="E34" s="12">
        <f t="shared" si="9"/>
        <v>0.2886751346</v>
      </c>
      <c r="F34" s="1"/>
      <c r="G34" s="13">
        <f t="shared" si="10"/>
        <v>-27.80187638</v>
      </c>
      <c r="H34" s="1"/>
      <c r="I34" s="13">
        <f t="shared" si="11"/>
        <v>0.726542528</v>
      </c>
      <c r="J34" s="12">
        <f t="shared" si="12"/>
        <v>0.8355491589</v>
      </c>
      <c r="K34" s="13">
        <f t="shared" si="13"/>
        <v>0.02613285946</v>
      </c>
      <c r="L34" s="12">
        <f t="shared" si="14"/>
        <v>1.740547054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0">
        <v>7.0</v>
      </c>
      <c r="B35" s="10">
        <v>0.047</v>
      </c>
      <c r="C35" s="12">
        <f t="shared" si="8"/>
        <v>0.00347</v>
      </c>
      <c r="D35" s="10">
        <v>50.0</v>
      </c>
      <c r="E35" s="12">
        <f t="shared" si="9"/>
        <v>0.2886751346</v>
      </c>
      <c r="F35" s="1"/>
      <c r="G35" s="13">
        <f t="shared" si="10"/>
        <v>-28.47400688</v>
      </c>
      <c r="H35" s="1"/>
      <c r="I35" s="13">
        <f t="shared" si="11"/>
        <v>0.8390996312</v>
      </c>
      <c r="J35" s="12">
        <f t="shared" si="12"/>
        <v>0.6986736806</v>
      </c>
      <c r="K35" s="13">
        <f t="shared" si="13"/>
        <v>0.02946896918</v>
      </c>
      <c r="L35" s="12">
        <f t="shared" si="14"/>
        <v>2.175687724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0">
        <v>8.0</v>
      </c>
      <c r="B36" s="10">
        <v>0.037</v>
      </c>
      <c r="C36" s="12">
        <f t="shared" si="8"/>
        <v>0.00337</v>
      </c>
      <c r="D36" s="10">
        <v>44.0</v>
      </c>
      <c r="E36" s="12">
        <f t="shared" si="9"/>
        <v>0.2886751346</v>
      </c>
      <c r="F36" s="1"/>
      <c r="G36" s="13">
        <f t="shared" si="10"/>
        <v>-27.6631568</v>
      </c>
      <c r="H36" s="1"/>
      <c r="I36" s="13">
        <f t="shared" si="11"/>
        <v>1.035530314</v>
      </c>
      <c r="J36" s="12">
        <f t="shared" si="12"/>
        <v>0.5578805198</v>
      </c>
      <c r="K36" s="13">
        <f t="shared" si="13"/>
        <v>0.03743355544</v>
      </c>
      <c r="L36" s="12">
        <f t="shared" si="14"/>
        <v>3.409488698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0">
        <v>9.0</v>
      </c>
      <c r="B37" s="10">
        <v>0.033</v>
      </c>
      <c r="C37" s="12">
        <f t="shared" si="8"/>
        <v>0.00333</v>
      </c>
      <c r="D37" s="10">
        <v>40.0</v>
      </c>
      <c r="E37" s="12">
        <f t="shared" si="9"/>
        <v>0.2886751346</v>
      </c>
      <c r="F37" s="1"/>
      <c r="G37" s="13">
        <f t="shared" si="10"/>
        <v>-28.3947211</v>
      </c>
      <c r="H37" s="1"/>
      <c r="I37" s="13">
        <f t="shared" si="11"/>
        <v>1.191753593</v>
      </c>
      <c r="J37" s="12">
        <f t="shared" si="12"/>
        <v>0.4919278879</v>
      </c>
      <c r="K37" s="13">
        <f t="shared" si="13"/>
        <v>0.0419709561</v>
      </c>
      <c r="L37" s="12">
        <f t="shared" si="14"/>
        <v>4.235251024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0">
        <v>10.0</v>
      </c>
      <c r="B38" s="10">
        <v>0.028</v>
      </c>
      <c r="C38" s="12">
        <f t="shared" si="8"/>
        <v>0.00328</v>
      </c>
      <c r="D38" s="10">
        <v>34.0</v>
      </c>
      <c r="E38" s="12">
        <f t="shared" si="9"/>
        <v>0.2886751346</v>
      </c>
      <c r="F38" s="1"/>
      <c r="G38" s="13">
        <f t="shared" si="10"/>
        <v>-29.97145254</v>
      </c>
      <c r="H38" s="1"/>
      <c r="I38" s="13">
        <f t="shared" si="11"/>
        <v>1.482560969</v>
      </c>
      <c r="J38" s="12">
        <f t="shared" si="12"/>
        <v>0.4200112759</v>
      </c>
      <c r="K38" s="13">
        <f t="shared" si="13"/>
        <v>0.04946576969</v>
      </c>
      <c r="L38" s="12">
        <f t="shared" si="14"/>
        <v>5.794561592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0">
        <v>11.0</v>
      </c>
      <c r="B39" s="10">
        <v>0.024</v>
      </c>
      <c r="C39" s="12">
        <f t="shared" si="8"/>
        <v>0.00324</v>
      </c>
      <c r="D39" s="10">
        <v>30.0</v>
      </c>
      <c r="E39" s="12">
        <f t="shared" si="9"/>
        <v>0.2886751346</v>
      </c>
      <c r="F39" s="1"/>
      <c r="G39" s="13">
        <f t="shared" si="10"/>
        <v>-30.01297639</v>
      </c>
      <c r="H39" s="1"/>
      <c r="I39" s="13">
        <f t="shared" si="11"/>
        <v>1.732050808</v>
      </c>
      <c r="J39" s="12">
        <f t="shared" si="12"/>
        <v>0.3849001795</v>
      </c>
      <c r="K39" s="13">
        <f t="shared" si="13"/>
        <v>0.05771006464</v>
      </c>
      <c r="L39" s="12">
        <f t="shared" si="14"/>
        <v>7.790858726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0">
        <v>12.0</v>
      </c>
      <c r="B40" s="10">
        <v>0.019</v>
      </c>
      <c r="C40" s="12">
        <f t="shared" si="8"/>
        <v>0.00319</v>
      </c>
      <c r="D40" s="10">
        <v>24.0</v>
      </c>
      <c r="E40" s="12">
        <f t="shared" si="9"/>
        <v>0.2886751346</v>
      </c>
      <c r="F40" s="1"/>
      <c r="G40" s="13">
        <f t="shared" si="10"/>
        <v>-30.81113246</v>
      </c>
      <c r="H40" s="1"/>
      <c r="I40" s="13">
        <f t="shared" si="11"/>
        <v>2.246036774</v>
      </c>
      <c r="J40" s="12">
        <f t="shared" si="12"/>
        <v>0.3458987972</v>
      </c>
      <c r="K40" s="13">
        <f t="shared" si="13"/>
        <v>0.07289692375</v>
      </c>
      <c r="L40" s="12">
        <f t="shared" si="14"/>
        <v>12.23900983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0">
        <v>13.0</v>
      </c>
      <c r="B41" s="10">
        <v>0.016</v>
      </c>
      <c r="C41" s="12">
        <f t="shared" si="8"/>
        <v>0.00316</v>
      </c>
      <c r="D41" s="10">
        <v>20.0</v>
      </c>
      <c r="E41" s="12">
        <f t="shared" si="9"/>
        <v>0.2886751346</v>
      </c>
      <c r="F41" s="1"/>
      <c r="G41" s="13">
        <f t="shared" si="10"/>
        <v>-31.73885915</v>
      </c>
      <c r="H41" s="1"/>
      <c r="I41" s="13">
        <f t="shared" si="11"/>
        <v>2.747477419</v>
      </c>
      <c r="J41" s="12">
        <f t="shared" si="12"/>
        <v>0.3269171801</v>
      </c>
      <c r="K41" s="13">
        <f t="shared" si="13"/>
        <v>0.08656509695</v>
      </c>
      <c r="L41" s="12">
        <f t="shared" si="14"/>
        <v>17.09660665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0">
        <v>14.0</v>
      </c>
      <c r="B42" s="10">
        <v>0.011</v>
      </c>
      <c r="C42" s="12">
        <f t="shared" si="8"/>
        <v>0.00311</v>
      </c>
      <c r="D42" s="10">
        <v>14.0</v>
      </c>
      <c r="E42" s="12">
        <f t="shared" si="9"/>
        <v>0.2886751346</v>
      </c>
      <c r="F42" s="1"/>
      <c r="G42" s="13">
        <f t="shared" si="10"/>
        <v>-31.85362217</v>
      </c>
      <c r="H42" s="1"/>
      <c r="I42" s="13">
        <f t="shared" si="11"/>
        <v>4.010780934</v>
      </c>
      <c r="J42" s="12">
        <f t="shared" si="12"/>
        <v>0.3066204664</v>
      </c>
      <c r="K42" s="13">
        <f t="shared" si="13"/>
        <v>0.1259128683</v>
      </c>
      <c r="L42" s="12">
        <f t="shared" si="14"/>
        <v>35.59900185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0">
        <v>15.0</v>
      </c>
      <c r="B43" s="10">
        <v>0.008</v>
      </c>
      <c r="C43" s="12">
        <f t="shared" si="8"/>
        <v>0.00308</v>
      </c>
      <c r="D43" s="10">
        <v>10.0</v>
      </c>
      <c r="E43" s="12">
        <f t="shared" si="9"/>
        <v>0.2886751346</v>
      </c>
      <c r="F43" s="1"/>
      <c r="G43" s="13">
        <f t="shared" si="10"/>
        <v>-32.75732379</v>
      </c>
      <c r="H43" s="1"/>
      <c r="I43" s="13">
        <f t="shared" si="11"/>
        <v>5.67128182</v>
      </c>
      <c r="J43" s="12">
        <f t="shared" si="12"/>
        <v>0.2976503921</v>
      </c>
      <c r="K43" s="13">
        <f t="shared" si="13"/>
        <v>0.1731301939</v>
      </c>
      <c r="L43" s="12">
        <f t="shared" si="14"/>
        <v>66.65512465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1" t="s">
        <v>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0" t="s">
        <v>22</v>
      </c>
      <c r="C46" s="11" t="s">
        <v>23</v>
      </c>
      <c r="D46" s="10" t="s">
        <v>24</v>
      </c>
      <c r="E46" s="11" t="s">
        <v>25</v>
      </c>
      <c r="F46" s="1"/>
      <c r="G46" s="10" t="s">
        <v>26</v>
      </c>
      <c r="H46" s="1"/>
      <c r="I46" s="10" t="s">
        <v>27</v>
      </c>
      <c r="J46" s="11" t="s">
        <v>28</v>
      </c>
      <c r="K46" s="10" t="s">
        <v>29</v>
      </c>
      <c r="L46" s="11" t="s">
        <v>30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0">
        <v>1.0</v>
      </c>
      <c r="B47" s="10">
        <v>-0.259</v>
      </c>
      <c r="C47" s="12">
        <f t="shared" ref="C47:C61" si="15">ABS(B47*(1/100))+0.003</f>
        <v>0.00559</v>
      </c>
      <c r="D47" s="10">
        <v>80.0</v>
      </c>
      <c r="E47" s="12">
        <f t="shared" ref="E47:E61" si="16">1/SQRT(12)</f>
        <v>0.2886751346</v>
      </c>
      <c r="F47" s="1"/>
      <c r="G47" s="13">
        <f t="shared" ref="G47:G61" si="17">tan(PI()/2-D47*(PI()/180))*-B47*$F$9*1000</f>
        <v>32.97279274</v>
      </c>
      <c r="H47" s="1"/>
      <c r="I47" s="13">
        <f t="shared" ref="I47:I61" si="18">tan(PI()/2-D47*PI()/180)</f>
        <v>0.1763269807</v>
      </c>
      <c r="J47" s="12">
        <f t="shared" ref="J47:J61" si="19">1/(COS(D47*PI()/180))^2*E47</f>
        <v>9.573459777</v>
      </c>
      <c r="K47" s="13">
        <f t="shared" ref="K47:K61" si="20">1/(B47*$F$9*1000)</f>
        <v>-0.005347650777</v>
      </c>
      <c r="L47" s="12">
        <f t="shared" ref="L47:L61" si="21">1/(B47^2*$F$9)*C47</f>
        <v>0.1154184087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0">
        <v>2.0</v>
      </c>
      <c r="B48" s="10">
        <v>-0.156</v>
      </c>
      <c r="C48" s="12">
        <f t="shared" si="15"/>
        <v>0.00456</v>
      </c>
      <c r="D48" s="10">
        <v>74.0</v>
      </c>
      <c r="E48" s="12">
        <f t="shared" si="16"/>
        <v>0.2886751346</v>
      </c>
      <c r="F48" s="1"/>
      <c r="G48" s="13">
        <f t="shared" si="17"/>
        <v>32.29670629</v>
      </c>
      <c r="H48" s="1"/>
      <c r="I48" s="13">
        <f t="shared" si="18"/>
        <v>0.2867453858</v>
      </c>
      <c r="J48" s="12">
        <f t="shared" si="19"/>
        <v>3.799559299</v>
      </c>
      <c r="K48" s="13">
        <f t="shared" si="20"/>
        <v>-0.008878471482</v>
      </c>
      <c r="L48" s="12">
        <f t="shared" si="21"/>
        <v>0.259524551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0">
        <v>3.0</v>
      </c>
      <c r="B49" s="10">
        <v>-0.109</v>
      </c>
      <c r="C49" s="12">
        <f t="shared" si="15"/>
        <v>0.00409</v>
      </c>
      <c r="D49" s="10">
        <v>70.0</v>
      </c>
      <c r="E49" s="12">
        <f t="shared" si="16"/>
        <v>0.2886751346</v>
      </c>
      <c r="F49" s="1"/>
      <c r="G49" s="13">
        <f t="shared" si="17"/>
        <v>28.6437295</v>
      </c>
      <c r="H49" s="1"/>
      <c r="I49" s="13">
        <f t="shared" si="18"/>
        <v>0.3639702343</v>
      </c>
      <c r="J49" s="12">
        <f t="shared" si="19"/>
        <v>2.467777542</v>
      </c>
      <c r="K49" s="13">
        <f t="shared" si="20"/>
        <v>-0.01270680322</v>
      </c>
      <c r="L49" s="12">
        <f t="shared" si="21"/>
        <v>0.4767965613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0">
        <v>4.0</v>
      </c>
      <c r="B50" s="10">
        <v>-0.088</v>
      </c>
      <c r="C50" s="12">
        <f t="shared" si="15"/>
        <v>0.00388</v>
      </c>
      <c r="D50" s="10">
        <v>64.0</v>
      </c>
      <c r="E50" s="12">
        <f t="shared" si="16"/>
        <v>0.2886751346</v>
      </c>
      <c r="F50" s="1"/>
      <c r="G50" s="13">
        <f t="shared" si="17"/>
        <v>30.98857775</v>
      </c>
      <c r="H50" s="1"/>
      <c r="I50" s="13">
        <f t="shared" si="18"/>
        <v>0.4877325886</v>
      </c>
      <c r="J50" s="12">
        <f t="shared" si="19"/>
        <v>1.502192032</v>
      </c>
      <c r="K50" s="13">
        <f t="shared" si="20"/>
        <v>-0.01573910854</v>
      </c>
      <c r="L50" s="12">
        <f t="shared" si="21"/>
        <v>0.6939516037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0">
        <v>5.0</v>
      </c>
      <c r="B51" s="14">
        <v>-0.073</v>
      </c>
      <c r="C51" s="12">
        <f t="shared" si="15"/>
        <v>0.00373</v>
      </c>
      <c r="D51" s="10">
        <v>60.0</v>
      </c>
      <c r="E51" s="12">
        <f t="shared" si="16"/>
        <v>0.2886751346</v>
      </c>
      <c r="F51" s="1"/>
      <c r="G51" s="13">
        <f t="shared" si="17"/>
        <v>30.42982329</v>
      </c>
      <c r="H51" s="1"/>
      <c r="I51" s="13">
        <f t="shared" si="18"/>
        <v>0.5773502692</v>
      </c>
      <c r="J51" s="12">
        <f t="shared" si="19"/>
        <v>1.154700538</v>
      </c>
      <c r="K51" s="13">
        <f t="shared" si="20"/>
        <v>-0.01897317193</v>
      </c>
      <c r="L51" s="12">
        <f t="shared" si="21"/>
        <v>0.9694511139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0">
        <v>6.0</v>
      </c>
      <c r="B52" s="10">
        <v>-0.057</v>
      </c>
      <c r="C52" s="12">
        <f t="shared" si="15"/>
        <v>0.00357</v>
      </c>
      <c r="D52" s="10">
        <v>54.0</v>
      </c>
      <c r="E52" s="12">
        <f t="shared" si="16"/>
        <v>0.2886751346</v>
      </c>
      <c r="F52" s="1"/>
      <c r="G52" s="13">
        <f t="shared" si="17"/>
        <v>29.9001312</v>
      </c>
      <c r="H52" s="1"/>
      <c r="I52" s="13">
        <f t="shared" si="18"/>
        <v>0.726542528</v>
      </c>
      <c r="J52" s="12">
        <f t="shared" si="19"/>
        <v>0.8355491589</v>
      </c>
      <c r="K52" s="13">
        <f t="shared" si="20"/>
        <v>-0.02429897458</v>
      </c>
      <c r="L52" s="12">
        <f t="shared" si="21"/>
        <v>1.521883145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0">
        <v>7.0</v>
      </c>
      <c r="B53" s="10">
        <v>-0.048</v>
      </c>
      <c r="C53" s="12">
        <f t="shared" si="15"/>
        <v>0.00348</v>
      </c>
      <c r="D53" s="10">
        <v>50.0</v>
      </c>
      <c r="E53" s="12">
        <f t="shared" si="16"/>
        <v>0.2886751346</v>
      </c>
      <c r="F53" s="1"/>
      <c r="G53" s="13">
        <f t="shared" si="17"/>
        <v>29.07983682</v>
      </c>
      <c r="H53" s="1"/>
      <c r="I53" s="13">
        <f t="shared" si="18"/>
        <v>0.8390996312</v>
      </c>
      <c r="J53" s="12">
        <f t="shared" si="19"/>
        <v>0.6986736806</v>
      </c>
      <c r="K53" s="13">
        <f t="shared" si="20"/>
        <v>-0.02885503232</v>
      </c>
      <c r="L53" s="12">
        <f t="shared" si="21"/>
        <v>2.091989843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0">
        <v>8.0</v>
      </c>
      <c r="B54" s="10">
        <v>-0.04</v>
      </c>
      <c r="C54" s="12">
        <f t="shared" si="15"/>
        <v>0.0034</v>
      </c>
      <c r="D54" s="10">
        <v>44.0</v>
      </c>
      <c r="E54" s="12">
        <f t="shared" si="16"/>
        <v>0.2886751346</v>
      </c>
      <c r="F54" s="1"/>
      <c r="G54" s="13">
        <f t="shared" si="17"/>
        <v>29.90611546</v>
      </c>
      <c r="H54" s="1"/>
      <c r="I54" s="13">
        <f t="shared" si="18"/>
        <v>1.035530314</v>
      </c>
      <c r="J54" s="12">
        <f t="shared" si="19"/>
        <v>0.5578805198</v>
      </c>
      <c r="K54" s="13">
        <f t="shared" si="20"/>
        <v>-0.03462603878</v>
      </c>
      <c r="L54" s="12">
        <f t="shared" si="21"/>
        <v>2.943213296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0">
        <v>9.0</v>
      </c>
      <c r="B55" s="10">
        <v>-0.035</v>
      </c>
      <c r="C55" s="12">
        <f t="shared" si="15"/>
        <v>0.00335</v>
      </c>
      <c r="D55" s="10">
        <v>40.0</v>
      </c>
      <c r="E55" s="12">
        <f t="shared" si="16"/>
        <v>0.2886751346</v>
      </c>
      <c r="F55" s="1"/>
      <c r="G55" s="13">
        <f t="shared" si="17"/>
        <v>30.11561328</v>
      </c>
      <c r="H55" s="1"/>
      <c r="I55" s="13">
        <f t="shared" si="18"/>
        <v>1.191753593</v>
      </c>
      <c r="J55" s="12">
        <f t="shared" si="19"/>
        <v>0.4919278879</v>
      </c>
      <c r="K55" s="13">
        <f t="shared" si="20"/>
        <v>-0.03957261575</v>
      </c>
      <c r="L55" s="12">
        <f t="shared" si="21"/>
        <v>3.78766465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0">
        <v>10.0</v>
      </c>
      <c r="B56" s="10">
        <v>-0.027</v>
      </c>
      <c r="C56" s="12">
        <f t="shared" si="15"/>
        <v>0.00327</v>
      </c>
      <c r="D56" s="10">
        <v>34.0</v>
      </c>
      <c r="E56" s="12">
        <f t="shared" si="16"/>
        <v>0.2886751346</v>
      </c>
      <c r="F56" s="1"/>
      <c r="G56" s="13">
        <f t="shared" si="17"/>
        <v>28.90104352</v>
      </c>
      <c r="H56" s="1"/>
      <c r="I56" s="13">
        <f t="shared" si="18"/>
        <v>1.482560969</v>
      </c>
      <c r="J56" s="12">
        <f t="shared" si="19"/>
        <v>0.4200112759</v>
      </c>
      <c r="K56" s="13">
        <f t="shared" si="20"/>
        <v>-0.05129783523</v>
      </c>
      <c r="L56" s="12">
        <f t="shared" si="21"/>
        <v>6.212737822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0">
        <v>11.0</v>
      </c>
      <c r="B57" s="10">
        <v>-0.023</v>
      </c>
      <c r="C57" s="12">
        <f t="shared" si="15"/>
        <v>0.00323</v>
      </c>
      <c r="D57" s="10">
        <v>30.0</v>
      </c>
      <c r="E57" s="12">
        <f t="shared" si="16"/>
        <v>0.2886751346</v>
      </c>
      <c r="F57" s="1"/>
      <c r="G57" s="13">
        <f t="shared" si="17"/>
        <v>28.76243571</v>
      </c>
      <c r="H57" s="1"/>
      <c r="I57" s="13">
        <f t="shared" si="18"/>
        <v>1.732050808</v>
      </c>
      <c r="J57" s="12">
        <f t="shared" si="19"/>
        <v>0.3849001795</v>
      </c>
      <c r="K57" s="13">
        <f t="shared" si="20"/>
        <v>-0.06021919788</v>
      </c>
      <c r="L57" s="12">
        <f t="shared" si="21"/>
        <v>8.456869963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0">
        <v>12.0</v>
      </c>
      <c r="B58" s="10">
        <v>-0.017</v>
      </c>
      <c r="C58" s="12">
        <f t="shared" si="15"/>
        <v>0.00317</v>
      </c>
      <c r="D58" s="10">
        <v>24.0</v>
      </c>
      <c r="E58" s="12">
        <f t="shared" si="16"/>
        <v>0.2886751346</v>
      </c>
      <c r="F58" s="1"/>
      <c r="G58" s="13">
        <f t="shared" si="17"/>
        <v>27.56785536</v>
      </c>
      <c r="H58" s="1"/>
      <c r="I58" s="13">
        <f t="shared" si="18"/>
        <v>2.246036774</v>
      </c>
      <c r="J58" s="12">
        <f t="shared" si="19"/>
        <v>0.3458987972</v>
      </c>
      <c r="K58" s="13">
        <f t="shared" si="20"/>
        <v>-0.08147303243</v>
      </c>
      <c r="L58" s="12">
        <f t="shared" si="21"/>
        <v>15.19232428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0">
        <v>13.0</v>
      </c>
      <c r="B59" s="10">
        <v>-0.013</v>
      </c>
      <c r="C59" s="12">
        <f t="shared" si="15"/>
        <v>0.00313</v>
      </c>
      <c r="D59" s="10">
        <v>20.0</v>
      </c>
      <c r="E59" s="12">
        <f t="shared" si="16"/>
        <v>0.2886751346</v>
      </c>
      <c r="F59" s="1"/>
      <c r="G59" s="13">
        <f t="shared" si="17"/>
        <v>25.78782306</v>
      </c>
      <c r="H59" s="1"/>
      <c r="I59" s="13">
        <f t="shared" si="18"/>
        <v>2.747477419</v>
      </c>
      <c r="J59" s="12">
        <f t="shared" si="19"/>
        <v>0.3269171801</v>
      </c>
      <c r="K59" s="13">
        <f t="shared" si="20"/>
        <v>-0.1065416578</v>
      </c>
      <c r="L59" s="12">
        <f t="shared" si="21"/>
        <v>25.65195299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0">
        <v>14.0</v>
      </c>
      <c r="B60" s="10">
        <v>-0.01</v>
      </c>
      <c r="C60" s="12">
        <f t="shared" si="15"/>
        <v>0.0031</v>
      </c>
      <c r="D60" s="10">
        <v>14.0</v>
      </c>
      <c r="E60" s="12">
        <f t="shared" si="16"/>
        <v>0.2886751346</v>
      </c>
      <c r="F60" s="1"/>
      <c r="G60" s="13">
        <f t="shared" si="17"/>
        <v>28.95783834</v>
      </c>
      <c r="H60" s="1"/>
      <c r="I60" s="13">
        <f t="shared" si="18"/>
        <v>4.010780934</v>
      </c>
      <c r="J60" s="12">
        <f t="shared" si="19"/>
        <v>0.3066204664</v>
      </c>
      <c r="K60" s="13">
        <f t="shared" si="20"/>
        <v>-0.1385041551</v>
      </c>
      <c r="L60" s="12">
        <f t="shared" si="21"/>
        <v>42.93628809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0">
        <v>15.0</v>
      </c>
      <c r="B61" s="10">
        <v>-0.007</v>
      </c>
      <c r="C61" s="12">
        <f t="shared" si="15"/>
        <v>0.00307</v>
      </c>
      <c r="D61" s="10">
        <v>10.0</v>
      </c>
      <c r="E61" s="12">
        <f t="shared" si="16"/>
        <v>0.2886751346</v>
      </c>
      <c r="F61" s="1"/>
      <c r="G61" s="13">
        <f t="shared" si="17"/>
        <v>28.66265832</v>
      </c>
      <c r="H61" s="1"/>
      <c r="I61" s="13">
        <f t="shared" si="18"/>
        <v>5.67128182</v>
      </c>
      <c r="J61" s="12">
        <f t="shared" si="19"/>
        <v>0.2976503921</v>
      </c>
      <c r="K61" s="13">
        <f t="shared" si="20"/>
        <v>-0.1978630787</v>
      </c>
      <c r="L61" s="12">
        <f t="shared" si="21"/>
        <v>86.77709311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1" t="s">
        <v>31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0" t="s">
        <v>22</v>
      </c>
      <c r="C63" s="11" t="s">
        <v>23</v>
      </c>
      <c r="D63" s="10" t="s">
        <v>24</v>
      </c>
      <c r="E63" s="11" t="s">
        <v>25</v>
      </c>
      <c r="F63" s="1"/>
      <c r="G63" s="10" t="s">
        <v>26</v>
      </c>
      <c r="H63" s="1"/>
      <c r="I63" s="10" t="s">
        <v>27</v>
      </c>
      <c r="J63" s="11" t="s">
        <v>28</v>
      </c>
      <c r="K63" s="10" t="s">
        <v>29</v>
      </c>
      <c r="L63" s="11" t="s">
        <v>30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0">
        <v>1.0</v>
      </c>
      <c r="B64" s="10">
        <v>0.19</v>
      </c>
      <c r="C64" s="12">
        <f t="shared" ref="C64:C78" si="22">ABS(B64*(1/100))+0.003</f>
        <v>0.0049</v>
      </c>
      <c r="D64" s="10">
        <v>80.0</v>
      </c>
      <c r="E64" s="12">
        <f t="shared" ref="E64:E78" si="23">1/SQRT(12)</f>
        <v>0.2886751346</v>
      </c>
      <c r="F64" s="1"/>
      <c r="G64" s="13">
        <f t="shared" ref="G64:G78" si="24">-tan(PI()/2-D64*(PI()/180))*-B64*$F$9*1000</f>
        <v>24.18853521</v>
      </c>
      <c r="H64" s="1"/>
      <c r="I64" s="13">
        <f t="shared" ref="I64:I78" si="25">tan(PI()/2-D64*PI()/180)</f>
        <v>0.1763269807</v>
      </c>
      <c r="J64" s="12">
        <f t="shared" ref="J64:J78" si="26">1/(COS(D64*PI()/180))^2*E64</f>
        <v>9.573459777</v>
      </c>
      <c r="K64" s="13">
        <f t="shared" ref="K64:K78" si="27">1/(B64*$F$9*1000)</f>
        <v>0.007289692375</v>
      </c>
      <c r="L64" s="12">
        <f t="shared" ref="L64:L78" si="28">1/(B64^2*$F$9)*C64</f>
        <v>0.1879973297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0">
        <v>2.0</v>
      </c>
      <c r="B65" s="10">
        <v>0.122</v>
      </c>
      <c r="C65" s="12">
        <f t="shared" si="22"/>
        <v>0.00422</v>
      </c>
      <c r="D65" s="10">
        <v>74.0</v>
      </c>
      <c r="E65" s="12">
        <f t="shared" si="23"/>
        <v>0.2886751346</v>
      </c>
      <c r="F65" s="1"/>
      <c r="G65" s="13">
        <f t="shared" si="24"/>
        <v>25.25768056</v>
      </c>
      <c r="H65" s="1"/>
      <c r="I65" s="13">
        <f t="shared" si="25"/>
        <v>0.2867453858</v>
      </c>
      <c r="J65" s="12">
        <f t="shared" si="26"/>
        <v>3.799559299</v>
      </c>
      <c r="K65" s="13">
        <f t="shared" si="27"/>
        <v>0.0113527996</v>
      </c>
      <c r="L65" s="12">
        <f t="shared" si="28"/>
        <v>0.3926951993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0">
        <v>3.0</v>
      </c>
      <c r="B66" s="10">
        <v>0.103</v>
      </c>
      <c r="C66" s="12">
        <f t="shared" si="22"/>
        <v>0.00403</v>
      </c>
      <c r="D66" s="10">
        <v>70.0</v>
      </c>
      <c r="E66" s="12">
        <f t="shared" si="23"/>
        <v>0.2886751346</v>
      </c>
      <c r="F66" s="1"/>
      <c r="G66" s="13">
        <f t="shared" si="24"/>
        <v>27.06701044</v>
      </c>
      <c r="H66" s="1"/>
      <c r="I66" s="13">
        <f t="shared" si="25"/>
        <v>0.3639702343</v>
      </c>
      <c r="J66" s="12">
        <f t="shared" si="26"/>
        <v>2.467777542</v>
      </c>
      <c r="K66" s="13">
        <f t="shared" si="27"/>
        <v>0.01344700535</v>
      </c>
      <c r="L66" s="12">
        <f t="shared" si="28"/>
        <v>0.5261304036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0">
        <v>4.0</v>
      </c>
      <c r="B67" s="22">
        <v>0.079</v>
      </c>
      <c r="C67" s="12">
        <f t="shared" si="22"/>
        <v>0.00379</v>
      </c>
      <c r="D67" s="10">
        <v>64.0</v>
      </c>
      <c r="E67" s="12">
        <f t="shared" si="23"/>
        <v>0.2886751346</v>
      </c>
      <c r="F67" s="1"/>
      <c r="G67" s="13">
        <f t="shared" si="24"/>
        <v>27.81929139</v>
      </c>
      <c r="H67" s="1"/>
      <c r="I67" s="13">
        <f t="shared" si="25"/>
        <v>0.4877325886</v>
      </c>
      <c r="J67" s="12">
        <f t="shared" si="26"/>
        <v>1.502192032</v>
      </c>
      <c r="K67" s="13">
        <f t="shared" si="27"/>
        <v>0.01753217153</v>
      </c>
      <c r="L67" s="12">
        <f t="shared" si="28"/>
        <v>0.8411003812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0">
        <v>5.0</v>
      </c>
      <c r="B68" s="14">
        <v>0.065</v>
      </c>
      <c r="C68" s="12">
        <f t="shared" si="22"/>
        <v>0.00365</v>
      </c>
      <c r="D68" s="10">
        <v>60.0</v>
      </c>
      <c r="E68" s="12">
        <f t="shared" si="23"/>
        <v>0.2886751346</v>
      </c>
      <c r="F68" s="1"/>
      <c r="G68" s="13">
        <f t="shared" si="24"/>
        <v>27.09504813</v>
      </c>
      <c r="H68" s="1"/>
      <c r="I68" s="13">
        <f t="shared" si="25"/>
        <v>0.5773502692</v>
      </c>
      <c r="J68" s="12">
        <f t="shared" si="26"/>
        <v>1.154700538</v>
      </c>
      <c r="K68" s="13">
        <f t="shared" si="27"/>
        <v>0.02130833156</v>
      </c>
      <c r="L68" s="12">
        <f t="shared" si="28"/>
        <v>1.196544772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0">
        <v>6.0</v>
      </c>
      <c r="B69" s="23">
        <v>0.056</v>
      </c>
      <c r="C69" s="12">
        <f t="shared" si="22"/>
        <v>0.00356</v>
      </c>
      <c r="D69" s="23">
        <v>54.0</v>
      </c>
      <c r="E69" s="24">
        <f t="shared" si="23"/>
        <v>0.2886751346</v>
      </c>
      <c r="F69" s="1"/>
      <c r="G69" s="13">
        <f t="shared" si="24"/>
        <v>29.37556749</v>
      </c>
      <c r="H69" s="1"/>
      <c r="I69" s="13">
        <f t="shared" si="25"/>
        <v>0.726542528</v>
      </c>
      <c r="J69" s="12">
        <f t="shared" si="26"/>
        <v>0.8355491589</v>
      </c>
      <c r="K69" s="13">
        <f t="shared" si="27"/>
        <v>0.02473288484</v>
      </c>
      <c r="L69" s="12">
        <f t="shared" si="28"/>
        <v>1.572304822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0">
        <v>7.0</v>
      </c>
      <c r="B70" s="10">
        <v>0.044</v>
      </c>
      <c r="C70" s="12">
        <f t="shared" si="22"/>
        <v>0.00344</v>
      </c>
      <c r="D70" s="10">
        <v>50.0</v>
      </c>
      <c r="E70" s="12">
        <f t="shared" si="23"/>
        <v>0.2886751346</v>
      </c>
      <c r="F70" s="1"/>
      <c r="G70" s="13">
        <f t="shared" si="24"/>
        <v>26.65651708</v>
      </c>
      <c r="H70" s="1"/>
      <c r="I70" s="13">
        <f t="shared" si="25"/>
        <v>0.8390996312</v>
      </c>
      <c r="J70" s="12">
        <f t="shared" si="26"/>
        <v>0.6986736806</v>
      </c>
      <c r="K70" s="13">
        <f t="shared" si="27"/>
        <v>0.03147821707</v>
      </c>
      <c r="L70" s="12">
        <f t="shared" si="28"/>
        <v>2.461024244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0">
        <v>8.0</v>
      </c>
      <c r="B71" s="10">
        <v>0.036</v>
      </c>
      <c r="C71" s="12">
        <f t="shared" si="22"/>
        <v>0.00336</v>
      </c>
      <c r="D71" s="10">
        <v>44.0</v>
      </c>
      <c r="E71" s="12">
        <f t="shared" si="23"/>
        <v>0.2886751346</v>
      </c>
      <c r="F71" s="1"/>
      <c r="G71" s="13">
        <f t="shared" si="24"/>
        <v>26.91550392</v>
      </c>
      <c r="H71" s="1"/>
      <c r="I71" s="13">
        <f t="shared" si="25"/>
        <v>1.035530314</v>
      </c>
      <c r="J71" s="12">
        <f t="shared" si="26"/>
        <v>0.5578805198</v>
      </c>
      <c r="K71" s="13">
        <f t="shared" si="27"/>
        <v>0.03847337642</v>
      </c>
      <c r="L71" s="12">
        <f t="shared" si="28"/>
        <v>3.590848466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0">
        <v>9.0</v>
      </c>
      <c r="B72" s="10">
        <v>0.031</v>
      </c>
      <c r="C72" s="12">
        <f t="shared" si="22"/>
        <v>0.00331</v>
      </c>
      <c r="D72" s="10">
        <v>40.0</v>
      </c>
      <c r="E72" s="12">
        <f t="shared" si="23"/>
        <v>0.2886751346</v>
      </c>
      <c r="F72" s="1"/>
      <c r="G72" s="13">
        <f t="shared" si="24"/>
        <v>26.67382891</v>
      </c>
      <c r="H72" s="1"/>
      <c r="I72" s="13">
        <f t="shared" si="25"/>
        <v>1.191753593</v>
      </c>
      <c r="J72" s="12">
        <f t="shared" si="26"/>
        <v>0.4919278879</v>
      </c>
      <c r="K72" s="13">
        <f t="shared" si="27"/>
        <v>0.04467875972</v>
      </c>
      <c r="L72" s="12">
        <f t="shared" si="28"/>
        <v>4.770538538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0">
        <v>10.0</v>
      </c>
      <c r="B73" s="10">
        <v>0.026</v>
      </c>
      <c r="C73" s="12">
        <f t="shared" si="22"/>
        <v>0.00326</v>
      </c>
      <c r="D73" s="10">
        <v>34.0</v>
      </c>
      <c r="E73" s="12">
        <f t="shared" si="23"/>
        <v>0.2886751346</v>
      </c>
      <c r="F73" s="1"/>
      <c r="G73" s="13">
        <f t="shared" si="24"/>
        <v>27.8306345</v>
      </c>
      <c r="H73" s="1"/>
      <c r="I73" s="13">
        <f t="shared" si="25"/>
        <v>1.482560969</v>
      </c>
      <c r="J73" s="12">
        <f t="shared" si="26"/>
        <v>0.4200112759</v>
      </c>
      <c r="K73" s="13">
        <f t="shared" si="27"/>
        <v>0.05327082889</v>
      </c>
      <c r="L73" s="12">
        <f t="shared" si="28"/>
        <v>6.679342392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0">
        <v>11.0</v>
      </c>
      <c r="B74" s="10">
        <v>0.023</v>
      </c>
      <c r="C74" s="12">
        <f t="shared" si="22"/>
        <v>0.00323</v>
      </c>
      <c r="D74" s="10">
        <v>30.0</v>
      </c>
      <c r="E74" s="12">
        <f t="shared" si="23"/>
        <v>0.2886751346</v>
      </c>
      <c r="F74" s="1"/>
      <c r="G74" s="13">
        <f t="shared" si="24"/>
        <v>28.76243571</v>
      </c>
      <c r="H74" s="1"/>
      <c r="I74" s="13">
        <f t="shared" si="25"/>
        <v>1.732050808</v>
      </c>
      <c r="J74" s="12">
        <f t="shared" si="26"/>
        <v>0.3849001795</v>
      </c>
      <c r="K74" s="13">
        <f t="shared" si="27"/>
        <v>0.06021919788</v>
      </c>
      <c r="L74" s="12">
        <f t="shared" si="28"/>
        <v>8.456869963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0">
        <v>12.0</v>
      </c>
      <c r="B75" s="23">
        <v>0.016</v>
      </c>
      <c r="C75" s="12">
        <f t="shared" si="22"/>
        <v>0.00316</v>
      </c>
      <c r="D75" s="23">
        <v>24.0</v>
      </c>
      <c r="E75" s="24">
        <f t="shared" si="23"/>
        <v>0.2886751346</v>
      </c>
      <c r="F75" s="1"/>
      <c r="G75" s="13">
        <f t="shared" si="24"/>
        <v>25.94621681</v>
      </c>
      <c r="H75" s="1"/>
      <c r="I75" s="13">
        <f t="shared" si="25"/>
        <v>2.246036774</v>
      </c>
      <c r="J75" s="12">
        <f t="shared" si="26"/>
        <v>0.3458987972</v>
      </c>
      <c r="K75" s="13">
        <f t="shared" si="27"/>
        <v>0.08656509695</v>
      </c>
      <c r="L75" s="12">
        <f t="shared" si="28"/>
        <v>17.09660665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0">
        <v>13.0</v>
      </c>
      <c r="B76" s="25">
        <v>0.013</v>
      </c>
      <c r="C76" s="12">
        <f t="shared" si="22"/>
        <v>0.00313</v>
      </c>
      <c r="D76" s="25">
        <v>20.0</v>
      </c>
      <c r="E76" s="26">
        <f t="shared" si="23"/>
        <v>0.2886751346</v>
      </c>
      <c r="F76" s="1"/>
      <c r="G76" s="13">
        <f t="shared" si="24"/>
        <v>25.78782306</v>
      </c>
      <c r="H76" s="1"/>
      <c r="I76" s="13">
        <f t="shared" si="25"/>
        <v>2.747477419</v>
      </c>
      <c r="J76" s="12">
        <f t="shared" si="26"/>
        <v>0.3269171801</v>
      </c>
      <c r="K76" s="13">
        <f t="shared" si="27"/>
        <v>0.1065416578</v>
      </c>
      <c r="L76" s="12">
        <f t="shared" si="28"/>
        <v>25.65195299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0">
        <v>14.0</v>
      </c>
      <c r="B77" s="25">
        <v>0.008</v>
      </c>
      <c r="C77" s="12">
        <f t="shared" si="22"/>
        <v>0.00308</v>
      </c>
      <c r="D77" s="25">
        <v>14.0</v>
      </c>
      <c r="E77" s="26">
        <f t="shared" si="23"/>
        <v>0.2886751346</v>
      </c>
      <c r="F77" s="1"/>
      <c r="G77" s="13">
        <f t="shared" si="24"/>
        <v>23.16627067</v>
      </c>
      <c r="H77" s="1"/>
      <c r="I77" s="13">
        <f t="shared" si="25"/>
        <v>4.010780934</v>
      </c>
      <c r="J77" s="12">
        <f t="shared" si="26"/>
        <v>0.3066204664</v>
      </c>
      <c r="K77" s="13">
        <f t="shared" si="27"/>
        <v>0.1731301939</v>
      </c>
      <c r="L77" s="12">
        <f t="shared" si="28"/>
        <v>66.65512465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0">
        <v>15.0</v>
      </c>
      <c r="B78" s="25">
        <v>0.006</v>
      </c>
      <c r="C78" s="12">
        <f t="shared" si="22"/>
        <v>0.00306</v>
      </c>
      <c r="D78" s="25">
        <v>10.0</v>
      </c>
      <c r="E78" s="26">
        <f t="shared" si="23"/>
        <v>0.2886751346</v>
      </c>
      <c r="F78" s="1"/>
      <c r="G78" s="13">
        <f t="shared" si="24"/>
        <v>24.56799284</v>
      </c>
      <c r="H78" s="1"/>
      <c r="I78" s="13">
        <f t="shared" si="25"/>
        <v>5.67128182</v>
      </c>
      <c r="J78" s="12">
        <f t="shared" si="26"/>
        <v>0.2976503921</v>
      </c>
      <c r="K78" s="13">
        <f t="shared" si="27"/>
        <v>0.2308402585</v>
      </c>
      <c r="L78" s="12">
        <f t="shared" si="28"/>
        <v>117.7285319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1" t="s">
        <v>32</v>
      </c>
      <c r="C80" s="27" t="s">
        <v>33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0" t="s">
        <v>22</v>
      </c>
      <c r="C81" s="11" t="s">
        <v>23</v>
      </c>
      <c r="D81" s="10" t="s">
        <v>24</v>
      </c>
      <c r="E81" s="11" t="s">
        <v>25</v>
      </c>
      <c r="F81" s="1"/>
      <c r="G81" s="10" t="s">
        <v>26</v>
      </c>
      <c r="H81" s="1"/>
      <c r="I81" s="10" t="s">
        <v>27</v>
      </c>
      <c r="J81" s="11" t="s">
        <v>28</v>
      </c>
      <c r="K81" s="10" t="s">
        <v>29</v>
      </c>
      <c r="L81" s="11" t="s">
        <v>30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0">
        <v>1.0</v>
      </c>
      <c r="B82" s="10">
        <v>-0.181</v>
      </c>
      <c r="C82" s="12">
        <f t="shared" ref="C82:C96" si="29">ABS(B82*(1/100))+0.003</f>
        <v>0.00481</v>
      </c>
      <c r="D82" s="10">
        <v>80.0</v>
      </c>
      <c r="E82" s="12">
        <f t="shared" ref="E82:E96" si="30">1/SQRT(12)</f>
        <v>0.2886751346</v>
      </c>
      <c r="F82" s="1"/>
      <c r="G82" s="13">
        <f t="shared" ref="G82:G96" si="31">tan(PI()/2-D82*(PI()/180))*-B82*$F$9*1000</f>
        <v>23.04276249</v>
      </c>
      <c r="H82" s="1"/>
      <c r="I82" s="13">
        <f t="shared" ref="I82:I96" si="32">tan(PI()/2-D82*PI()/180)</f>
        <v>0.1763269807</v>
      </c>
      <c r="J82" s="12">
        <f t="shared" ref="J82:J96" si="33">1/(COS(D82*PI()/180))^2*E82</f>
        <v>9.573459777</v>
      </c>
      <c r="K82" s="13">
        <f t="shared" ref="K82:K96" si="34">1/(B82*$F$9*1000)</f>
        <v>-0.007652163267</v>
      </c>
      <c r="L82" s="12">
        <f t="shared" ref="L82:L96" si="35">1/(B82^2*$F$9)*C82</f>
        <v>0.203353068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0">
        <v>2.0</v>
      </c>
      <c r="B83" s="10">
        <v>-0.124</v>
      </c>
      <c r="C83" s="12">
        <f t="shared" si="29"/>
        <v>0.00424</v>
      </c>
      <c r="D83" s="10">
        <v>74.0</v>
      </c>
      <c r="E83" s="12">
        <f t="shared" si="30"/>
        <v>0.2886751346</v>
      </c>
      <c r="F83" s="1"/>
      <c r="G83" s="13">
        <f t="shared" si="31"/>
        <v>25.6717409</v>
      </c>
      <c r="H83" s="1"/>
      <c r="I83" s="13">
        <f t="shared" si="32"/>
        <v>0.2867453858</v>
      </c>
      <c r="J83" s="12">
        <f t="shared" si="33"/>
        <v>3.799559299</v>
      </c>
      <c r="K83" s="13">
        <f t="shared" si="34"/>
        <v>-0.01116968993</v>
      </c>
      <c r="L83" s="12">
        <f t="shared" si="35"/>
        <v>0.3819313331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0">
        <v>3.0</v>
      </c>
      <c r="B84" s="10">
        <v>-0.097</v>
      </c>
      <c r="C84" s="12">
        <f t="shared" si="29"/>
        <v>0.00397</v>
      </c>
      <c r="D84" s="10">
        <v>70.0</v>
      </c>
      <c r="E84" s="12">
        <f t="shared" si="30"/>
        <v>0.2886751346</v>
      </c>
      <c r="F84" s="1"/>
      <c r="G84" s="13">
        <f t="shared" si="31"/>
        <v>25.49029139</v>
      </c>
      <c r="H84" s="1"/>
      <c r="I84" s="13">
        <f t="shared" si="32"/>
        <v>0.3639702343</v>
      </c>
      <c r="J84" s="12">
        <f t="shared" si="33"/>
        <v>2.467777542</v>
      </c>
      <c r="K84" s="13">
        <f t="shared" si="34"/>
        <v>-0.01427877888</v>
      </c>
      <c r="L84" s="12">
        <f t="shared" si="35"/>
        <v>0.5843995067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0">
        <v>4.0</v>
      </c>
      <c r="B85" s="10">
        <v>-0.077</v>
      </c>
      <c r="C85" s="12">
        <f t="shared" si="29"/>
        <v>0.00377</v>
      </c>
      <c r="D85" s="10">
        <v>64.0</v>
      </c>
      <c r="E85" s="12">
        <f t="shared" si="30"/>
        <v>0.2886751346</v>
      </c>
      <c r="F85" s="1"/>
      <c r="G85" s="13">
        <f t="shared" si="31"/>
        <v>27.11500553</v>
      </c>
      <c r="H85" s="1"/>
      <c r="I85" s="13">
        <f t="shared" si="32"/>
        <v>0.4877325886</v>
      </c>
      <c r="J85" s="12">
        <f t="shared" si="33"/>
        <v>1.502192032</v>
      </c>
      <c r="K85" s="13">
        <f t="shared" si="34"/>
        <v>-0.01798755261</v>
      </c>
      <c r="L85" s="12">
        <f t="shared" si="35"/>
        <v>0.8806892643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0">
        <v>5.0</v>
      </c>
      <c r="B86" s="14">
        <v>-0.068</v>
      </c>
      <c r="C86" s="12">
        <f t="shared" si="29"/>
        <v>0.00368</v>
      </c>
      <c r="D86" s="10">
        <v>60.0</v>
      </c>
      <c r="E86" s="12">
        <f t="shared" si="30"/>
        <v>0.2886751346</v>
      </c>
      <c r="F86" s="1"/>
      <c r="G86" s="13">
        <f t="shared" si="31"/>
        <v>28.34558882</v>
      </c>
      <c r="H86" s="1"/>
      <c r="I86" s="13">
        <f t="shared" si="32"/>
        <v>0.5773502692</v>
      </c>
      <c r="J86" s="12">
        <f t="shared" si="33"/>
        <v>1.154700538</v>
      </c>
      <c r="K86" s="13">
        <f t="shared" si="34"/>
        <v>-0.02036825811</v>
      </c>
      <c r="L86" s="12">
        <f t="shared" si="35"/>
        <v>1.102282203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0">
        <v>6.0</v>
      </c>
      <c r="B87" s="10">
        <v>-0.049</v>
      </c>
      <c r="C87" s="12">
        <f t="shared" si="29"/>
        <v>0.00349</v>
      </c>
      <c r="D87" s="10">
        <v>54.0</v>
      </c>
      <c r="E87" s="12">
        <f t="shared" si="30"/>
        <v>0.2886751346</v>
      </c>
      <c r="F87" s="1"/>
      <c r="G87" s="13">
        <f t="shared" si="31"/>
        <v>25.70362156</v>
      </c>
      <c r="H87" s="1"/>
      <c r="I87" s="13">
        <f t="shared" si="32"/>
        <v>0.726542528</v>
      </c>
      <c r="J87" s="12">
        <f t="shared" si="33"/>
        <v>0.8355491589</v>
      </c>
      <c r="K87" s="13">
        <f t="shared" si="34"/>
        <v>-0.02826615411</v>
      </c>
      <c r="L87" s="12">
        <f t="shared" si="35"/>
        <v>2.013242405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0">
        <v>7.0</v>
      </c>
      <c r="B88" s="10">
        <v>-0.044</v>
      </c>
      <c r="C88" s="12">
        <f t="shared" si="29"/>
        <v>0.00344</v>
      </c>
      <c r="D88" s="10">
        <v>50.0</v>
      </c>
      <c r="E88" s="12">
        <f t="shared" si="30"/>
        <v>0.2886751346</v>
      </c>
      <c r="F88" s="1"/>
      <c r="G88" s="13">
        <f t="shared" si="31"/>
        <v>26.65651708</v>
      </c>
      <c r="H88" s="1"/>
      <c r="I88" s="13">
        <f t="shared" si="32"/>
        <v>0.8390996312</v>
      </c>
      <c r="J88" s="12">
        <f t="shared" si="33"/>
        <v>0.6986736806</v>
      </c>
      <c r="K88" s="13">
        <f t="shared" si="34"/>
        <v>-0.03147821707</v>
      </c>
      <c r="L88" s="12">
        <f t="shared" si="35"/>
        <v>2.461024244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0">
        <v>8.0</v>
      </c>
      <c r="B89" s="10">
        <v>-0.038</v>
      </c>
      <c r="C89" s="12">
        <f t="shared" si="29"/>
        <v>0.00338</v>
      </c>
      <c r="D89" s="10">
        <v>44.0</v>
      </c>
      <c r="E89" s="12">
        <f t="shared" si="30"/>
        <v>0.2886751346</v>
      </c>
      <c r="F89" s="1"/>
      <c r="G89" s="13">
        <f t="shared" si="31"/>
        <v>28.41080969</v>
      </c>
      <c r="H89" s="1"/>
      <c r="I89" s="13">
        <f t="shared" si="32"/>
        <v>1.035530314</v>
      </c>
      <c r="J89" s="12">
        <f t="shared" si="33"/>
        <v>0.5578805198</v>
      </c>
      <c r="K89" s="13">
        <f t="shared" si="34"/>
        <v>-0.03644846187</v>
      </c>
      <c r="L89" s="12">
        <f t="shared" si="35"/>
        <v>3.241994767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0">
        <v>9.0</v>
      </c>
      <c r="B90" s="10">
        <v>-0.033</v>
      </c>
      <c r="C90" s="12">
        <f t="shared" si="29"/>
        <v>0.00333</v>
      </c>
      <c r="D90" s="10">
        <v>40.0</v>
      </c>
      <c r="E90" s="12">
        <f t="shared" si="30"/>
        <v>0.2886751346</v>
      </c>
      <c r="F90" s="1"/>
      <c r="G90" s="13">
        <f t="shared" si="31"/>
        <v>28.3947211</v>
      </c>
      <c r="H90" s="1"/>
      <c r="I90" s="13">
        <f t="shared" si="32"/>
        <v>1.191753593</v>
      </c>
      <c r="J90" s="12">
        <f t="shared" si="33"/>
        <v>0.4919278879</v>
      </c>
      <c r="K90" s="13">
        <f t="shared" si="34"/>
        <v>-0.0419709561</v>
      </c>
      <c r="L90" s="12">
        <f t="shared" si="35"/>
        <v>4.235251024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0">
        <v>10.0</v>
      </c>
      <c r="B91" s="10">
        <v>-0.024</v>
      </c>
      <c r="C91" s="12">
        <f t="shared" si="29"/>
        <v>0.00324</v>
      </c>
      <c r="D91" s="10">
        <v>34.0</v>
      </c>
      <c r="E91" s="12">
        <f t="shared" si="30"/>
        <v>0.2886751346</v>
      </c>
      <c r="F91" s="1"/>
      <c r="G91" s="13">
        <f t="shared" si="31"/>
        <v>25.68981646</v>
      </c>
      <c r="H91" s="1"/>
      <c r="I91" s="13">
        <f t="shared" si="32"/>
        <v>1.482560969</v>
      </c>
      <c r="J91" s="12">
        <f t="shared" si="33"/>
        <v>0.4200112759</v>
      </c>
      <c r="K91" s="13">
        <f t="shared" si="34"/>
        <v>-0.05771006464</v>
      </c>
      <c r="L91" s="12">
        <f t="shared" si="35"/>
        <v>7.790858726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0">
        <v>11.0</v>
      </c>
      <c r="B92" s="10">
        <v>-0.023</v>
      </c>
      <c r="C92" s="12">
        <f t="shared" si="29"/>
        <v>0.00323</v>
      </c>
      <c r="D92" s="10">
        <v>30.0</v>
      </c>
      <c r="E92" s="12">
        <f t="shared" si="30"/>
        <v>0.2886751346</v>
      </c>
      <c r="F92" s="1"/>
      <c r="G92" s="13">
        <f t="shared" si="31"/>
        <v>28.76243571</v>
      </c>
      <c r="H92" s="1"/>
      <c r="I92" s="13">
        <f t="shared" si="32"/>
        <v>1.732050808</v>
      </c>
      <c r="J92" s="12">
        <f t="shared" si="33"/>
        <v>0.3849001795</v>
      </c>
      <c r="K92" s="13">
        <f t="shared" si="34"/>
        <v>-0.06021919788</v>
      </c>
      <c r="L92" s="12">
        <f t="shared" si="35"/>
        <v>8.456869963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0">
        <v>12.0</v>
      </c>
      <c r="B93" s="10">
        <v>-0.015</v>
      </c>
      <c r="C93" s="12">
        <f t="shared" si="29"/>
        <v>0.00315</v>
      </c>
      <c r="D93" s="10">
        <v>24.0</v>
      </c>
      <c r="E93" s="12">
        <f t="shared" si="30"/>
        <v>0.2886751346</v>
      </c>
      <c r="F93" s="1"/>
      <c r="G93" s="13">
        <f t="shared" si="31"/>
        <v>24.32457826</v>
      </c>
      <c r="H93" s="1"/>
      <c r="I93" s="13">
        <f t="shared" si="32"/>
        <v>2.246036774</v>
      </c>
      <c r="J93" s="12">
        <f t="shared" si="33"/>
        <v>0.3458987972</v>
      </c>
      <c r="K93" s="13">
        <f t="shared" si="34"/>
        <v>-0.09233610342</v>
      </c>
      <c r="L93" s="12">
        <f t="shared" si="35"/>
        <v>19.39058172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0">
        <v>13.0</v>
      </c>
      <c r="B94" s="14">
        <v>-0.014</v>
      </c>
      <c r="C94" s="12">
        <f t="shared" si="29"/>
        <v>0.00314</v>
      </c>
      <c r="D94" s="10">
        <v>20.0</v>
      </c>
      <c r="E94" s="12">
        <f t="shared" si="30"/>
        <v>0.2886751346</v>
      </c>
      <c r="F94" s="1"/>
      <c r="G94" s="13">
        <f t="shared" si="31"/>
        <v>27.77150176</v>
      </c>
      <c r="H94" s="1"/>
      <c r="I94" s="13">
        <f t="shared" si="32"/>
        <v>2.747477419</v>
      </c>
      <c r="J94" s="12">
        <f t="shared" si="33"/>
        <v>0.3269171801</v>
      </c>
      <c r="K94" s="13">
        <f t="shared" si="34"/>
        <v>-0.09893153937</v>
      </c>
      <c r="L94" s="12">
        <f t="shared" si="35"/>
        <v>22.18893097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0">
        <v>14.0</v>
      </c>
      <c r="B95" s="10">
        <v>-0.009</v>
      </c>
      <c r="C95" s="12">
        <f t="shared" si="29"/>
        <v>0.00309</v>
      </c>
      <c r="D95" s="10">
        <v>14.0</v>
      </c>
      <c r="E95" s="12">
        <f t="shared" si="30"/>
        <v>0.2886751346</v>
      </c>
      <c r="F95" s="1"/>
      <c r="G95" s="13">
        <f t="shared" si="31"/>
        <v>26.06205451</v>
      </c>
      <c r="H95" s="1"/>
      <c r="I95" s="13">
        <f t="shared" si="32"/>
        <v>4.010780934</v>
      </c>
      <c r="J95" s="12">
        <f t="shared" si="33"/>
        <v>0.3066204664</v>
      </c>
      <c r="K95" s="13">
        <f t="shared" si="34"/>
        <v>-0.1538935057</v>
      </c>
      <c r="L95" s="12">
        <f t="shared" si="35"/>
        <v>52.83677029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0">
        <v>15.0</v>
      </c>
      <c r="B96" s="10">
        <v>-0.007</v>
      </c>
      <c r="C96" s="12">
        <f t="shared" si="29"/>
        <v>0.00307</v>
      </c>
      <c r="D96" s="10">
        <v>10.0</v>
      </c>
      <c r="E96" s="12">
        <f t="shared" si="30"/>
        <v>0.2886751346</v>
      </c>
      <c r="F96" s="1"/>
      <c r="G96" s="13">
        <f t="shared" si="31"/>
        <v>28.66265832</v>
      </c>
      <c r="H96" s="1"/>
      <c r="I96" s="13">
        <f t="shared" si="32"/>
        <v>5.67128182</v>
      </c>
      <c r="J96" s="12">
        <f t="shared" si="33"/>
        <v>0.2976503921</v>
      </c>
      <c r="K96" s="13">
        <f t="shared" si="34"/>
        <v>-0.1978630787</v>
      </c>
      <c r="L96" s="12">
        <f t="shared" si="35"/>
        <v>86.77709311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1" t="s">
        <v>31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0" t="s">
        <v>22</v>
      </c>
      <c r="C98" s="11" t="s">
        <v>23</v>
      </c>
      <c r="D98" s="10" t="s">
        <v>24</v>
      </c>
      <c r="E98" s="11" t="s">
        <v>25</v>
      </c>
      <c r="F98" s="1"/>
      <c r="G98" s="10" t="s">
        <v>26</v>
      </c>
      <c r="H98" s="1"/>
      <c r="I98" s="10" t="s">
        <v>27</v>
      </c>
      <c r="J98" s="11" t="s">
        <v>28</v>
      </c>
      <c r="K98" s="10" t="s">
        <v>29</v>
      </c>
      <c r="L98" s="11" t="s">
        <v>30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0">
        <v>1.0</v>
      </c>
      <c r="B99" s="10">
        <v>0.251</v>
      </c>
      <c r="C99" s="12">
        <f t="shared" ref="C99:C113" si="36">ABS(B99*(1/100))+0.003</f>
        <v>0.00551</v>
      </c>
      <c r="D99" s="10">
        <v>80.0</v>
      </c>
      <c r="E99" s="12">
        <f t="shared" ref="E99:E113" si="37">1/SQRT(12)</f>
        <v>0.2886751346</v>
      </c>
      <c r="F99" s="1"/>
      <c r="G99" s="13">
        <f t="shared" ref="G99:G113" si="38">-tan(PI()/2-D99*(PI()/180))*-B99*$F$9*1000</f>
        <v>31.9543281</v>
      </c>
      <c r="H99" s="1"/>
      <c r="I99" s="13">
        <f t="shared" ref="I99:I113" si="39">tan(PI()/2-D99*PI()/180)</f>
        <v>0.1763269807</v>
      </c>
      <c r="J99" s="12">
        <f t="shared" ref="J99:J113" si="40">1/(COS(D99*PI()/180))^2*E99</f>
        <v>9.573459777</v>
      </c>
      <c r="K99" s="13">
        <f t="shared" ref="K99:K113" si="41">1/(B99*$F$9*1000)</f>
        <v>0.00551809383</v>
      </c>
      <c r="L99" s="12">
        <f t="shared" ref="L99:L113" si="42">1/(B99^2*$F$9)*C99</f>
        <v>0.121134251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0">
        <v>2.0</v>
      </c>
      <c r="B100" s="10">
        <v>0.144</v>
      </c>
      <c r="C100" s="12">
        <f t="shared" si="36"/>
        <v>0.00444</v>
      </c>
      <c r="D100" s="10">
        <v>74.0</v>
      </c>
      <c r="E100" s="12">
        <f t="shared" si="37"/>
        <v>0.2886751346</v>
      </c>
      <c r="F100" s="1"/>
      <c r="G100" s="13">
        <f t="shared" si="38"/>
        <v>29.81234427</v>
      </c>
      <c r="H100" s="1"/>
      <c r="I100" s="13">
        <f t="shared" si="39"/>
        <v>0.2867453858</v>
      </c>
      <c r="J100" s="12">
        <f t="shared" si="40"/>
        <v>3.799559299</v>
      </c>
      <c r="K100" s="13">
        <f t="shared" si="41"/>
        <v>0.009618344106</v>
      </c>
      <c r="L100" s="12">
        <f t="shared" si="42"/>
        <v>0.2965656099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0">
        <v>3.0</v>
      </c>
      <c r="B101" s="10">
        <v>0.103</v>
      </c>
      <c r="C101" s="12">
        <f t="shared" si="36"/>
        <v>0.00403</v>
      </c>
      <c r="D101" s="10">
        <v>70.0</v>
      </c>
      <c r="E101" s="12">
        <f t="shared" si="37"/>
        <v>0.2886751346</v>
      </c>
      <c r="F101" s="1"/>
      <c r="G101" s="13">
        <f t="shared" si="38"/>
        <v>27.06701044</v>
      </c>
      <c r="H101" s="1"/>
      <c r="I101" s="13">
        <f t="shared" si="39"/>
        <v>0.3639702343</v>
      </c>
      <c r="J101" s="12">
        <f t="shared" si="40"/>
        <v>2.467777542</v>
      </c>
      <c r="K101" s="13">
        <f t="shared" si="41"/>
        <v>0.01344700535</v>
      </c>
      <c r="L101" s="12">
        <f t="shared" si="42"/>
        <v>0.5261304036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0">
        <v>4.0</v>
      </c>
      <c r="B102" s="10">
        <v>0.077</v>
      </c>
      <c r="C102" s="12">
        <f t="shared" si="36"/>
        <v>0.00377</v>
      </c>
      <c r="D102" s="10">
        <v>64.0</v>
      </c>
      <c r="E102" s="12">
        <f t="shared" si="37"/>
        <v>0.2886751346</v>
      </c>
      <c r="F102" s="1"/>
      <c r="G102" s="13">
        <f t="shared" si="38"/>
        <v>27.11500553</v>
      </c>
      <c r="H102" s="1"/>
      <c r="I102" s="13">
        <f t="shared" si="39"/>
        <v>0.4877325886</v>
      </c>
      <c r="J102" s="12">
        <f t="shared" si="40"/>
        <v>1.502192032</v>
      </c>
      <c r="K102" s="13">
        <f t="shared" si="41"/>
        <v>0.01798755261</v>
      </c>
      <c r="L102" s="12">
        <f t="shared" si="42"/>
        <v>0.8806892643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0">
        <v>5.0</v>
      </c>
      <c r="B103" s="14">
        <v>0.07</v>
      </c>
      <c r="C103" s="12">
        <f t="shared" si="36"/>
        <v>0.0037</v>
      </c>
      <c r="D103" s="10">
        <v>60.0</v>
      </c>
      <c r="E103" s="12">
        <f t="shared" si="37"/>
        <v>0.2886751346</v>
      </c>
      <c r="F103" s="1"/>
      <c r="G103" s="13">
        <f t="shared" si="38"/>
        <v>29.1792826</v>
      </c>
      <c r="H103" s="1"/>
      <c r="I103" s="13">
        <f t="shared" si="39"/>
        <v>0.5773502692</v>
      </c>
      <c r="J103" s="12">
        <f t="shared" si="40"/>
        <v>1.154700538</v>
      </c>
      <c r="K103" s="13">
        <f t="shared" si="41"/>
        <v>0.01978630787</v>
      </c>
      <c r="L103" s="12">
        <f t="shared" si="42"/>
        <v>1.045847702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0">
        <v>6.0</v>
      </c>
      <c r="B104" s="10">
        <v>0.053</v>
      </c>
      <c r="C104" s="12">
        <f t="shared" si="36"/>
        <v>0.00353</v>
      </c>
      <c r="D104" s="10">
        <v>54.0</v>
      </c>
      <c r="E104" s="12">
        <f t="shared" si="37"/>
        <v>0.2886751346</v>
      </c>
      <c r="F104" s="1"/>
      <c r="G104" s="13">
        <f t="shared" si="38"/>
        <v>27.80187638</v>
      </c>
      <c r="H104" s="1"/>
      <c r="I104" s="13">
        <f t="shared" si="39"/>
        <v>0.726542528</v>
      </c>
      <c r="J104" s="12">
        <f t="shared" si="40"/>
        <v>0.8355491589</v>
      </c>
      <c r="K104" s="13">
        <f t="shared" si="41"/>
        <v>0.02613285946</v>
      </c>
      <c r="L104" s="12">
        <f t="shared" si="42"/>
        <v>1.740547054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0">
        <v>7.0</v>
      </c>
      <c r="B105" s="10">
        <v>0.045</v>
      </c>
      <c r="C105" s="12">
        <f t="shared" si="36"/>
        <v>0.00345</v>
      </c>
      <c r="D105" s="10">
        <v>50.0</v>
      </c>
      <c r="E105" s="12">
        <f t="shared" si="37"/>
        <v>0.2886751346</v>
      </c>
      <c r="F105" s="1"/>
      <c r="G105" s="13">
        <f t="shared" si="38"/>
        <v>27.26234702</v>
      </c>
      <c r="H105" s="1"/>
      <c r="I105" s="13">
        <f t="shared" si="39"/>
        <v>0.8390996312</v>
      </c>
      <c r="J105" s="12">
        <f t="shared" si="40"/>
        <v>0.6986736806</v>
      </c>
      <c r="K105" s="13">
        <f t="shared" si="41"/>
        <v>0.03077870114</v>
      </c>
      <c r="L105" s="12">
        <f t="shared" si="42"/>
        <v>2.359700421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0">
        <v>8.0</v>
      </c>
      <c r="B106" s="10">
        <v>0.036</v>
      </c>
      <c r="C106" s="12">
        <f t="shared" si="36"/>
        <v>0.00336</v>
      </c>
      <c r="D106" s="10">
        <v>44.0</v>
      </c>
      <c r="E106" s="12">
        <f t="shared" si="37"/>
        <v>0.2886751346</v>
      </c>
      <c r="F106" s="1"/>
      <c r="G106" s="13">
        <f t="shared" si="38"/>
        <v>26.91550392</v>
      </c>
      <c r="H106" s="1"/>
      <c r="I106" s="13">
        <f t="shared" si="39"/>
        <v>1.035530314</v>
      </c>
      <c r="J106" s="12">
        <f t="shared" si="40"/>
        <v>0.5578805198</v>
      </c>
      <c r="K106" s="13">
        <f t="shared" si="41"/>
        <v>0.03847337642</v>
      </c>
      <c r="L106" s="12">
        <f t="shared" si="42"/>
        <v>3.590848466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0">
        <v>9.0</v>
      </c>
      <c r="B107" s="10">
        <v>0.03</v>
      </c>
      <c r="C107" s="12">
        <f t="shared" si="36"/>
        <v>0.0033</v>
      </c>
      <c r="D107" s="10">
        <v>40.0</v>
      </c>
      <c r="E107" s="12">
        <f t="shared" si="37"/>
        <v>0.2886751346</v>
      </c>
      <c r="F107" s="1"/>
      <c r="G107" s="13">
        <f t="shared" si="38"/>
        <v>25.81338282</v>
      </c>
      <c r="H107" s="1"/>
      <c r="I107" s="13">
        <f t="shared" si="39"/>
        <v>1.191753593</v>
      </c>
      <c r="J107" s="12">
        <f t="shared" si="40"/>
        <v>0.4919278879</v>
      </c>
      <c r="K107" s="13">
        <f t="shared" si="41"/>
        <v>0.04616805171</v>
      </c>
      <c r="L107" s="12">
        <f t="shared" si="42"/>
        <v>5.078485688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0">
        <v>10.0</v>
      </c>
      <c r="B108" s="10">
        <v>0.025</v>
      </c>
      <c r="C108" s="12">
        <f t="shared" si="36"/>
        <v>0.00325</v>
      </c>
      <c r="D108" s="10">
        <v>34.0</v>
      </c>
      <c r="E108" s="12">
        <f t="shared" si="37"/>
        <v>0.2886751346</v>
      </c>
      <c r="F108" s="1"/>
      <c r="G108" s="13">
        <f t="shared" si="38"/>
        <v>26.76022548</v>
      </c>
      <c r="H108" s="1"/>
      <c r="I108" s="13">
        <f t="shared" si="39"/>
        <v>1.482560969</v>
      </c>
      <c r="J108" s="12">
        <f t="shared" si="40"/>
        <v>0.4200112759</v>
      </c>
      <c r="K108" s="13">
        <f t="shared" si="41"/>
        <v>0.05540166205</v>
      </c>
      <c r="L108" s="12">
        <f t="shared" si="42"/>
        <v>7.202216066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0">
        <v>11.0</v>
      </c>
      <c r="B109" s="10">
        <v>0.019</v>
      </c>
      <c r="C109" s="12">
        <f t="shared" si="36"/>
        <v>0.00319</v>
      </c>
      <c r="D109" s="10">
        <v>30.0</v>
      </c>
      <c r="E109" s="12">
        <f t="shared" si="37"/>
        <v>0.2886751346</v>
      </c>
      <c r="F109" s="1"/>
      <c r="G109" s="13">
        <f t="shared" si="38"/>
        <v>23.76027298</v>
      </c>
      <c r="H109" s="1"/>
      <c r="I109" s="13">
        <f t="shared" si="39"/>
        <v>1.732050808</v>
      </c>
      <c r="J109" s="12">
        <f t="shared" si="40"/>
        <v>0.3849001795</v>
      </c>
      <c r="K109" s="13">
        <f t="shared" si="41"/>
        <v>0.07289692375</v>
      </c>
      <c r="L109" s="12">
        <f t="shared" si="42"/>
        <v>12.23900983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0">
        <v>12.0</v>
      </c>
      <c r="B110" s="10">
        <v>0.016</v>
      </c>
      <c r="C110" s="12">
        <f t="shared" si="36"/>
        <v>0.00316</v>
      </c>
      <c r="D110" s="10">
        <v>24.0</v>
      </c>
      <c r="E110" s="12">
        <f t="shared" si="37"/>
        <v>0.2886751346</v>
      </c>
      <c r="F110" s="1"/>
      <c r="G110" s="13">
        <f t="shared" si="38"/>
        <v>25.94621681</v>
      </c>
      <c r="H110" s="1"/>
      <c r="I110" s="13">
        <f t="shared" si="39"/>
        <v>2.246036774</v>
      </c>
      <c r="J110" s="12">
        <f t="shared" si="40"/>
        <v>0.3458987972</v>
      </c>
      <c r="K110" s="13">
        <f t="shared" si="41"/>
        <v>0.08656509695</v>
      </c>
      <c r="L110" s="12">
        <f t="shared" si="42"/>
        <v>17.09660665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0">
        <v>13.0</v>
      </c>
      <c r="B111" s="10">
        <v>0.012</v>
      </c>
      <c r="C111" s="12">
        <f t="shared" si="36"/>
        <v>0.00312</v>
      </c>
      <c r="D111" s="10">
        <v>20.0</v>
      </c>
      <c r="E111" s="12">
        <f t="shared" si="37"/>
        <v>0.2886751346</v>
      </c>
      <c r="F111" s="1"/>
      <c r="G111" s="13">
        <f t="shared" si="38"/>
        <v>23.80414436</v>
      </c>
      <c r="H111" s="1"/>
      <c r="I111" s="13">
        <f t="shared" si="39"/>
        <v>2.747477419</v>
      </c>
      <c r="J111" s="12">
        <f t="shared" si="40"/>
        <v>0.3269171801</v>
      </c>
      <c r="K111" s="13">
        <f t="shared" si="41"/>
        <v>0.1154201293</v>
      </c>
      <c r="L111" s="12">
        <f t="shared" si="42"/>
        <v>30.00923361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0">
        <v>14.0</v>
      </c>
      <c r="B112" s="10">
        <v>0.008</v>
      </c>
      <c r="C112" s="12">
        <f t="shared" si="36"/>
        <v>0.00308</v>
      </c>
      <c r="D112" s="10">
        <v>14.0</v>
      </c>
      <c r="E112" s="12">
        <f t="shared" si="37"/>
        <v>0.2886751346</v>
      </c>
      <c r="F112" s="1"/>
      <c r="G112" s="13">
        <f t="shared" si="38"/>
        <v>23.16627067</v>
      </c>
      <c r="H112" s="1"/>
      <c r="I112" s="13">
        <f t="shared" si="39"/>
        <v>4.010780934</v>
      </c>
      <c r="J112" s="12">
        <f t="shared" si="40"/>
        <v>0.3066204664</v>
      </c>
      <c r="K112" s="13">
        <f t="shared" si="41"/>
        <v>0.1731301939</v>
      </c>
      <c r="L112" s="12">
        <f t="shared" si="42"/>
        <v>66.65512465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0">
        <v>15.0</v>
      </c>
      <c r="B113" s="10">
        <v>0.005</v>
      </c>
      <c r="C113" s="12">
        <f t="shared" si="36"/>
        <v>0.00305</v>
      </c>
      <c r="D113" s="10">
        <v>10.0</v>
      </c>
      <c r="E113" s="12">
        <f t="shared" si="37"/>
        <v>0.2886751346</v>
      </c>
      <c r="F113" s="1"/>
      <c r="G113" s="13">
        <f t="shared" si="38"/>
        <v>20.47332737</v>
      </c>
      <c r="H113" s="1"/>
      <c r="I113" s="13">
        <f t="shared" si="39"/>
        <v>5.67128182</v>
      </c>
      <c r="J113" s="12">
        <f t="shared" si="40"/>
        <v>0.2976503921</v>
      </c>
      <c r="K113" s="13">
        <f t="shared" si="41"/>
        <v>0.2770083102</v>
      </c>
      <c r="L113" s="12">
        <f t="shared" si="42"/>
        <v>168.9750693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1" t="s">
        <v>34</v>
      </c>
      <c r="C115" s="1"/>
      <c r="D115" s="1"/>
      <c r="E115" s="1"/>
      <c r="F115" s="1"/>
      <c r="G115" s="1"/>
      <c r="H115" s="1"/>
      <c r="I115" s="10" t="s">
        <v>27</v>
      </c>
      <c r="J115" s="11" t="s">
        <v>28</v>
      </c>
      <c r="K115" s="10" t="s">
        <v>29</v>
      </c>
      <c r="L115" s="11" t="s">
        <v>30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0" t="s">
        <v>22</v>
      </c>
      <c r="C116" s="11" t="s">
        <v>23</v>
      </c>
      <c r="D116" s="10" t="s">
        <v>24</v>
      </c>
      <c r="E116" s="11" t="s">
        <v>25</v>
      </c>
      <c r="F116" s="1"/>
      <c r="G116" s="10" t="s">
        <v>26</v>
      </c>
      <c r="H116" s="1"/>
      <c r="I116" s="13" t="str">
        <f t="shared" ref="I116:I130" si="43">tan(PI()/2-D116*PI()/180)</f>
        <v>#VALUE!</v>
      </c>
      <c r="J116" s="12" t="str">
        <f t="shared" ref="J116:J130" si="44">1/(COS(D116*PI()/180))^2*E116</f>
        <v>#VALUE!</v>
      </c>
      <c r="K116" s="13" t="str">
        <f t="shared" ref="K116:K130" si="45">1/(B116*$F$9*1000)</f>
        <v>#VALUE!</v>
      </c>
      <c r="L116" s="12" t="str">
        <f t="shared" ref="L116:L130" si="46">1/(B116^2*$F$9)*C116</f>
        <v>#VALUE!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0">
        <v>1.0</v>
      </c>
      <c r="B117" s="10">
        <f t="shared" ref="B117:B131" si="47">AVERAGE(ABS(B12),ABS(B29),ABS(B47),ABS(B64),ABS(B82),ABS(B99))</f>
        <v>0.216</v>
      </c>
      <c r="C117" s="12">
        <f t="shared" ref="C117:C131" si="48">ABS(B117*(1/100))+0.003</f>
        <v>0.00516</v>
      </c>
      <c r="D117" s="10">
        <v>80.0</v>
      </c>
      <c r="E117" s="12">
        <f t="shared" ref="E117:E131" si="49">1/SQRT(12)</f>
        <v>0.2886751346</v>
      </c>
      <c r="F117" s="1"/>
      <c r="G117" s="13">
        <f t="shared" ref="G117:G131" si="50">-tan(PI()/2-D117*(PI()/180))*-B117*$F$9*1000</f>
        <v>27.4985453</v>
      </c>
      <c r="H117" s="1"/>
      <c r="I117" s="13">
        <f t="shared" si="43"/>
        <v>0.1763269807</v>
      </c>
      <c r="J117" s="12">
        <f t="shared" si="44"/>
        <v>9.573459777</v>
      </c>
      <c r="K117" s="13">
        <f t="shared" si="45"/>
        <v>0.006412229404</v>
      </c>
      <c r="L117" s="12">
        <f t="shared" si="46"/>
        <v>0.1531810358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0">
        <v>2.0</v>
      </c>
      <c r="B118" s="10">
        <f t="shared" si="47"/>
        <v>0.1365</v>
      </c>
      <c r="C118" s="12">
        <f t="shared" si="48"/>
        <v>0.004365</v>
      </c>
      <c r="D118" s="10">
        <v>74.0</v>
      </c>
      <c r="E118" s="12">
        <f t="shared" si="49"/>
        <v>0.2886751346</v>
      </c>
      <c r="F118" s="1"/>
      <c r="G118" s="13">
        <f t="shared" si="50"/>
        <v>28.259618</v>
      </c>
      <c r="H118" s="1"/>
      <c r="I118" s="13">
        <f t="shared" si="43"/>
        <v>0.2867453858</v>
      </c>
      <c r="J118" s="12">
        <f t="shared" si="44"/>
        <v>3.799559299</v>
      </c>
      <c r="K118" s="13">
        <f t="shared" si="45"/>
        <v>0.01014682455</v>
      </c>
      <c r="L118" s="12">
        <f t="shared" si="46"/>
        <v>0.3244753785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0">
        <v>3.0</v>
      </c>
      <c r="B119" s="10">
        <f t="shared" si="47"/>
        <v>0.1033333333</v>
      </c>
      <c r="C119" s="12">
        <f t="shared" si="48"/>
        <v>0.004033333333</v>
      </c>
      <c r="D119" s="10">
        <v>70.0</v>
      </c>
      <c r="E119" s="12">
        <f t="shared" si="49"/>
        <v>0.2886751346</v>
      </c>
      <c r="F119" s="1"/>
      <c r="G119" s="13">
        <f t="shared" si="50"/>
        <v>27.15460594</v>
      </c>
      <c r="H119" s="1"/>
      <c r="I119" s="13">
        <f t="shared" si="43"/>
        <v>0.3639702343</v>
      </c>
      <c r="J119" s="12">
        <f t="shared" si="44"/>
        <v>2.467777542</v>
      </c>
      <c r="K119" s="13">
        <f t="shared" si="45"/>
        <v>0.01340362792</v>
      </c>
      <c r="L119" s="12">
        <f t="shared" si="46"/>
        <v>0.5231738638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0">
        <v>4.0</v>
      </c>
      <c r="B120" s="10">
        <f t="shared" si="47"/>
        <v>0.07916666667</v>
      </c>
      <c r="C120" s="12">
        <f t="shared" si="48"/>
        <v>0.003791666667</v>
      </c>
      <c r="D120" s="10">
        <v>64.0</v>
      </c>
      <c r="E120" s="12">
        <f t="shared" si="49"/>
        <v>0.2886751346</v>
      </c>
      <c r="F120" s="1"/>
      <c r="G120" s="13">
        <f t="shared" si="50"/>
        <v>27.87798187</v>
      </c>
      <c r="H120" s="1"/>
      <c r="I120" s="13">
        <f t="shared" si="43"/>
        <v>0.4877325886</v>
      </c>
      <c r="J120" s="12">
        <f t="shared" si="44"/>
        <v>1.502192032</v>
      </c>
      <c r="K120" s="13">
        <f t="shared" si="45"/>
        <v>0.0174952617</v>
      </c>
      <c r="L120" s="12">
        <f t="shared" si="46"/>
        <v>0.8379309551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0">
        <v>5.0</v>
      </c>
      <c r="B121" s="10">
        <f t="shared" si="47"/>
        <v>0.068</v>
      </c>
      <c r="C121" s="12">
        <f t="shared" si="48"/>
        <v>0.00368</v>
      </c>
      <c r="D121" s="10">
        <v>60.0</v>
      </c>
      <c r="E121" s="12">
        <f t="shared" si="49"/>
        <v>0.2886751346</v>
      </c>
      <c r="F121" s="1"/>
      <c r="G121" s="13">
        <f t="shared" si="50"/>
        <v>28.34558882</v>
      </c>
      <c r="H121" s="1"/>
      <c r="I121" s="13">
        <f t="shared" si="43"/>
        <v>0.5773502692</v>
      </c>
      <c r="J121" s="12">
        <f t="shared" si="44"/>
        <v>1.154700538</v>
      </c>
      <c r="K121" s="13">
        <f t="shared" si="45"/>
        <v>0.02036825811</v>
      </c>
      <c r="L121" s="12">
        <f t="shared" si="46"/>
        <v>1.102282203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0">
        <v>6.0</v>
      </c>
      <c r="B122" s="10">
        <f t="shared" si="47"/>
        <v>0.05283333333</v>
      </c>
      <c r="C122" s="12">
        <f t="shared" si="48"/>
        <v>0.003528333333</v>
      </c>
      <c r="D122" s="10">
        <v>54.0</v>
      </c>
      <c r="E122" s="12">
        <f t="shared" si="49"/>
        <v>0.2886751346</v>
      </c>
      <c r="F122" s="1"/>
      <c r="G122" s="13">
        <f t="shared" si="50"/>
        <v>27.71444909</v>
      </c>
      <c r="H122" s="1"/>
      <c r="I122" s="13">
        <f t="shared" si="43"/>
        <v>0.726542528</v>
      </c>
      <c r="J122" s="12">
        <f t="shared" si="44"/>
        <v>0.8355491589</v>
      </c>
      <c r="K122" s="13">
        <f t="shared" si="45"/>
        <v>0.0262152975</v>
      </c>
      <c r="L122" s="12">
        <f t="shared" si="46"/>
        <v>1.750718764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0">
        <v>7.0</v>
      </c>
      <c r="B123" s="10">
        <f t="shared" si="47"/>
        <v>0.0455</v>
      </c>
      <c r="C123" s="12">
        <f t="shared" si="48"/>
        <v>0.003455</v>
      </c>
      <c r="D123" s="10">
        <v>50.0</v>
      </c>
      <c r="E123" s="12">
        <f t="shared" si="49"/>
        <v>0.2886751346</v>
      </c>
      <c r="F123" s="1"/>
      <c r="G123" s="13">
        <f t="shared" si="50"/>
        <v>27.56526198</v>
      </c>
      <c r="H123" s="1"/>
      <c r="I123" s="13">
        <f t="shared" si="43"/>
        <v>0.8390996312</v>
      </c>
      <c r="J123" s="12">
        <f t="shared" si="44"/>
        <v>0.6986736806</v>
      </c>
      <c r="K123" s="13">
        <f t="shared" si="45"/>
        <v>0.03044047365</v>
      </c>
      <c r="L123" s="12">
        <f t="shared" si="46"/>
        <v>2.311468933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0">
        <v>8.0</v>
      </c>
      <c r="B124" s="10">
        <f t="shared" si="47"/>
        <v>0.03666666667</v>
      </c>
      <c r="C124" s="12">
        <f t="shared" si="48"/>
        <v>0.003366666667</v>
      </c>
      <c r="D124" s="10">
        <v>44.0</v>
      </c>
      <c r="E124" s="12">
        <f t="shared" si="49"/>
        <v>0.2886751346</v>
      </c>
      <c r="F124" s="1"/>
      <c r="G124" s="13">
        <f t="shared" si="50"/>
        <v>27.41393917</v>
      </c>
      <c r="H124" s="1"/>
      <c r="I124" s="13">
        <f t="shared" si="43"/>
        <v>1.035530314</v>
      </c>
      <c r="J124" s="12">
        <f t="shared" si="44"/>
        <v>0.5578805198</v>
      </c>
      <c r="K124" s="13">
        <f t="shared" si="45"/>
        <v>0.03777386049</v>
      </c>
      <c r="L124" s="12">
        <f t="shared" si="46"/>
        <v>3.46832719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0">
        <v>9.0</v>
      </c>
      <c r="B125" s="10">
        <f t="shared" si="47"/>
        <v>0.03183333333</v>
      </c>
      <c r="C125" s="12">
        <f t="shared" si="48"/>
        <v>0.003318333333</v>
      </c>
      <c r="D125" s="10">
        <v>40.0</v>
      </c>
      <c r="E125" s="12">
        <f t="shared" si="49"/>
        <v>0.2886751346</v>
      </c>
      <c r="F125" s="1"/>
      <c r="G125" s="13">
        <f t="shared" si="50"/>
        <v>27.39086732</v>
      </c>
      <c r="H125" s="1"/>
      <c r="I125" s="13">
        <f t="shared" si="43"/>
        <v>1.191753593</v>
      </c>
      <c r="J125" s="12">
        <f t="shared" si="44"/>
        <v>0.4919278879</v>
      </c>
      <c r="K125" s="13">
        <f t="shared" si="45"/>
        <v>0.04350915868</v>
      </c>
      <c r="L125" s="12">
        <f t="shared" si="46"/>
        <v>4.535431148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0">
        <v>10.0</v>
      </c>
      <c r="B126" s="10">
        <f t="shared" si="47"/>
        <v>0.02533333333</v>
      </c>
      <c r="C126" s="12">
        <f t="shared" si="48"/>
        <v>0.003253333333</v>
      </c>
      <c r="D126" s="10">
        <v>34.0</v>
      </c>
      <c r="E126" s="12">
        <f t="shared" si="49"/>
        <v>0.2886751346</v>
      </c>
      <c r="F126" s="1"/>
      <c r="G126" s="13">
        <f t="shared" si="50"/>
        <v>27.11702849</v>
      </c>
      <c r="H126" s="1"/>
      <c r="I126" s="13">
        <f t="shared" si="43"/>
        <v>1.482560969</v>
      </c>
      <c r="J126" s="12">
        <f t="shared" si="44"/>
        <v>0.4200112759</v>
      </c>
      <c r="K126" s="13">
        <f t="shared" si="45"/>
        <v>0.05467269281</v>
      </c>
      <c r="L126" s="12">
        <f t="shared" si="46"/>
        <v>7.021124761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0">
        <v>11.0</v>
      </c>
      <c r="B127" s="10">
        <f t="shared" si="47"/>
        <v>0.02183333333</v>
      </c>
      <c r="C127" s="12">
        <f t="shared" si="48"/>
        <v>0.003218333333</v>
      </c>
      <c r="D127" s="10">
        <v>30.0</v>
      </c>
      <c r="E127" s="12">
        <f t="shared" si="49"/>
        <v>0.2886751346</v>
      </c>
      <c r="F127" s="1"/>
      <c r="G127" s="13">
        <f t="shared" si="50"/>
        <v>27.30347158</v>
      </c>
      <c r="H127" s="1"/>
      <c r="I127" s="13">
        <f t="shared" si="43"/>
        <v>1.732050808</v>
      </c>
      <c r="J127" s="12">
        <f t="shared" si="44"/>
        <v>0.3849001795</v>
      </c>
      <c r="K127" s="13">
        <f t="shared" si="45"/>
        <v>0.06343701761</v>
      </c>
      <c r="L127" s="12">
        <f t="shared" si="46"/>
        <v>9.350906948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0">
        <v>12.0</v>
      </c>
      <c r="B128" s="10">
        <f t="shared" si="47"/>
        <v>0.01633333333</v>
      </c>
      <c r="C128" s="12">
        <f t="shared" si="48"/>
        <v>0.003163333333</v>
      </c>
      <c r="D128" s="15">
        <v>24.0</v>
      </c>
      <c r="E128" s="12">
        <f t="shared" si="49"/>
        <v>0.2886751346</v>
      </c>
      <c r="F128" s="1"/>
      <c r="G128" s="13">
        <f t="shared" si="50"/>
        <v>26.486763</v>
      </c>
      <c r="H128" s="1"/>
      <c r="I128" s="13">
        <f t="shared" si="43"/>
        <v>2.246036774</v>
      </c>
      <c r="J128" s="12">
        <f t="shared" si="44"/>
        <v>0.3458987972</v>
      </c>
      <c r="K128" s="13">
        <f t="shared" si="45"/>
        <v>0.08479846232</v>
      </c>
      <c r="L128" s="12">
        <f t="shared" si="46"/>
        <v>16.4232124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0">
        <v>13.0</v>
      </c>
      <c r="B129" s="10">
        <f t="shared" si="47"/>
        <v>0.01333333333</v>
      </c>
      <c r="C129" s="12">
        <f t="shared" si="48"/>
        <v>0.003133333333</v>
      </c>
      <c r="D129" s="17">
        <v>20.0</v>
      </c>
      <c r="E129" s="12">
        <f t="shared" si="49"/>
        <v>0.2886751346</v>
      </c>
      <c r="F129" s="1"/>
      <c r="G129" s="13">
        <f t="shared" si="50"/>
        <v>26.44904929</v>
      </c>
      <c r="H129" s="1"/>
      <c r="I129" s="13">
        <f t="shared" si="43"/>
        <v>2.747477419</v>
      </c>
      <c r="J129" s="12">
        <f t="shared" si="44"/>
        <v>0.3269171801</v>
      </c>
      <c r="K129" s="13">
        <f t="shared" si="45"/>
        <v>0.1038781163</v>
      </c>
      <c r="L129" s="12">
        <f t="shared" si="46"/>
        <v>24.41135734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0">
        <v>14.0</v>
      </c>
      <c r="B130" s="10">
        <f t="shared" si="47"/>
        <v>0.009</v>
      </c>
      <c r="C130" s="12">
        <f t="shared" si="48"/>
        <v>0.00309</v>
      </c>
      <c r="D130" s="17">
        <v>14.0</v>
      </c>
      <c r="E130" s="12">
        <f t="shared" si="49"/>
        <v>0.2886751346</v>
      </c>
      <c r="F130" s="1"/>
      <c r="G130" s="13">
        <f t="shared" si="50"/>
        <v>26.06205451</v>
      </c>
      <c r="H130" s="1"/>
      <c r="I130" s="13">
        <f t="shared" si="43"/>
        <v>4.010780934</v>
      </c>
      <c r="J130" s="12">
        <f t="shared" si="44"/>
        <v>0.3066204664</v>
      </c>
      <c r="K130" s="13">
        <f t="shared" si="45"/>
        <v>0.1538935057</v>
      </c>
      <c r="L130" s="12">
        <f t="shared" si="46"/>
        <v>52.83677029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0">
        <v>15.0</v>
      </c>
      <c r="B131" s="10">
        <f t="shared" si="47"/>
        <v>0.0065</v>
      </c>
      <c r="C131" s="12">
        <f t="shared" si="48"/>
        <v>0.003065</v>
      </c>
      <c r="D131" s="19">
        <v>10.0</v>
      </c>
      <c r="E131" s="12">
        <f t="shared" si="49"/>
        <v>0.2886751346</v>
      </c>
      <c r="F131" s="1"/>
      <c r="G131" s="13">
        <f t="shared" si="50"/>
        <v>26.61532558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8"/>
      <c r="C133" s="28"/>
      <c r="D133" s="28"/>
      <c r="E133" s="28"/>
      <c r="F133" s="1"/>
      <c r="G133" s="1"/>
      <c r="H133" s="1"/>
      <c r="I133" s="28"/>
      <c r="J133" s="28"/>
      <c r="K133" s="28"/>
      <c r="L133" s="2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28"/>
      <c r="B134" s="28"/>
      <c r="C134" s="29"/>
      <c r="D134" s="28"/>
      <c r="E134" s="29"/>
      <c r="F134" s="1"/>
      <c r="G134" s="1"/>
      <c r="H134" s="1"/>
      <c r="I134" s="29"/>
      <c r="J134" s="29"/>
      <c r="K134" s="29"/>
      <c r="L134" s="2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28"/>
      <c r="B135" s="28"/>
      <c r="C135" s="29"/>
      <c r="D135" s="28"/>
      <c r="E135" s="29"/>
      <c r="F135" s="1"/>
      <c r="G135" s="1"/>
      <c r="H135" s="1"/>
      <c r="I135" s="29"/>
      <c r="J135" s="29"/>
      <c r="K135" s="29"/>
      <c r="L135" s="2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28"/>
      <c r="B136" s="28"/>
      <c r="C136" s="29"/>
      <c r="D136" s="28"/>
      <c r="E136" s="29"/>
      <c r="F136" s="1"/>
      <c r="G136" s="1"/>
      <c r="H136" s="1"/>
      <c r="I136" s="29"/>
      <c r="J136" s="29"/>
      <c r="K136" s="29"/>
      <c r="L136" s="2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28"/>
      <c r="B137" s="28"/>
      <c r="C137" s="29"/>
      <c r="D137" s="28"/>
      <c r="E137" s="29"/>
      <c r="F137" s="1"/>
      <c r="G137" s="1"/>
      <c r="H137" s="1"/>
      <c r="I137" s="29"/>
      <c r="J137" s="29"/>
      <c r="K137" s="29"/>
      <c r="L137" s="2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28"/>
      <c r="B138" s="30"/>
      <c r="C138" s="29"/>
      <c r="D138" s="28"/>
      <c r="E138" s="29"/>
      <c r="F138" s="1"/>
      <c r="G138" s="1"/>
      <c r="H138" s="1"/>
      <c r="I138" s="29"/>
      <c r="J138" s="29"/>
      <c r="K138" s="29"/>
      <c r="L138" s="2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28"/>
      <c r="B139" s="28"/>
      <c r="C139" s="29"/>
      <c r="D139" s="28"/>
      <c r="E139" s="29"/>
      <c r="F139" s="1"/>
      <c r="G139" s="1"/>
      <c r="H139" s="1"/>
      <c r="I139" s="29"/>
      <c r="J139" s="29"/>
      <c r="K139" s="29"/>
      <c r="L139" s="2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28"/>
      <c r="B140" s="28"/>
      <c r="C140" s="29"/>
      <c r="D140" s="28"/>
      <c r="E140" s="29"/>
      <c r="F140" s="1"/>
      <c r="G140" s="1"/>
      <c r="H140" s="1"/>
      <c r="I140" s="29"/>
      <c r="J140" s="29"/>
      <c r="K140" s="29"/>
      <c r="L140" s="2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28"/>
      <c r="B141" s="28"/>
      <c r="C141" s="29"/>
      <c r="D141" s="28"/>
      <c r="E141" s="29"/>
      <c r="F141" s="1"/>
      <c r="G141" s="1"/>
      <c r="H141" s="1"/>
      <c r="I141" s="29"/>
      <c r="J141" s="29"/>
      <c r="K141" s="29"/>
      <c r="L141" s="2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28"/>
      <c r="B142" s="28"/>
      <c r="C142" s="29"/>
      <c r="D142" s="28"/>
      <c r="E142" s="29"/>
      <c r="F142" s="1"/>
      <c r="G142" s="1"/>
      <c r="H142" s="1"/>
      <c r="I142" s="29"/>
      <c r="J142" s="29"/>
      <c r="K142" s="29"/>
      <c r="L142" s="2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28"/>
      <c r="B143" s="28"/>
      <c r="C143" s="29"/>
      <c r="D143" s="28"/>
      <c r="E143" s="29"/>
      <c r="F143" s="1"/>
      <c r="G143" s="1"/>
      <c r="H143" s="1"/>
      <c r="I143" s="29"/>
      <c r="J143" s="29"/>
      <c r="K143" s="29"/>
      <c r="L143" s="2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28"/>
      <c r="B144" s="28"/>
      <c r="C144" s="29"/>
      <c r="D144" s="28"/>
      <c r="E144" s="29"/>
      <c r="F144" s="1"/>
      <c r="G144" s="1"/>
      <c r="H144" s="1"/>
      <c r="I144" s="29"/>
      <c r="J144" s="29"/>
      <c r="K144" s="29"/>
      <c r="L144" s="2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28"/>
      <c r="B145" s="28"/>
      <c r="C145" s="29"/>
      <c r="D145" s="28"/>
      <c r="E145" s="29"/>
      <c r="F145" s="1"/>
      <c r="G145" s="1"/>
      <c r="H145" s="1"/>
      <c r="I145" s="29"/>
      <c r="J145" s="29"/>
      <c r="K145" s="29"/>
      <c r="L145" s="2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28"/>
      <c r="B146" s="28"/>
      <c r="C146" s="29"/>
      <c r="D146" s="28"/>
      <c r="E146" s="29"/>
      <c r="F146" s="1"/>
      <c r="G146" s="1"/>
      <c r="H146" s="1"/>
      <c r="I146" s="29"/>
      <c r="J146" s="29"/>
      <c r="K146" s="29"/>
      <c r="L146" s="2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28"/>
      <c r="B147" s="28"/>
      <c r="C147" s="29"/>
      <c r="D147" s="28"/>
      <c r="E147" s="29"/>
      <c r="F147" s="1"/>
      <c r="G147" s="1"/>
      <c r="H147" s="1"/>
      <c r="I147" s="29"/>
      <c r="J147" s="29"/>
      <c r="K147" s="29"/>
      <c r="L147" s="2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28"/>
      <c r="B148" s="28"/>
      <c r="C148" s="29"/>
      <c r="D148" s="28"/>
      <c r="E148" s="29"/>
      <c r="F148" s="1"/>
      <c r="G148" s="1"/>
      <c r="H148" s="1"/>
      <c r="I148" s="29"/>
      <c r="J148" s="29"/>
      <c r="K148" s="29"/>
      <c r="L148" s="2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5" max="5" width="19.25"/>
    <col customWidth="1" min="7" max="7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"/>
      <c r="I2" s="21" t="s">
        <v>15</v>
      </c>
      <c r="J2" s="21" t="s">
        <v>16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>
        <f>4*PI()*10^(-7)</f>
        <v>0.000001256637061</v>
      </c>
      <c r="C3" s="2">
        <f>8*10^(22)</f>
        <v>8E+22</v>
      </c>
      <c r="D3" s="2">
        <f> 6371*10^3</f>
        <v>6371000</v>
      </c>
      <c r="E3" s="4">
        <f>B3*C3/(D3^3*4*PI())</f>
        <v>0.0000309362146</v>
      </c>
      <c r="F3" s="2">
        <v>0.649</v>
      </c>
      <c r="G3" s="5">
        <f>E3*(SIN(PI()/2-F3))*10^(6)</f>
        <v>24.64652909</v>
      </c>
      <c r="H3" s="1"/>
      <c r="I3" s="1">
        <f t="array" ref="I3">INDEX(LINEST( J12:J26,H12:H26), 1)</f>
        <v>-108.5207046</v>
      </c>
      <c r="J3" s="1">
        <f>INTERCEPT(J12:J26,H12:H26 )</f>
        <v>-5.356515347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1"/>
      <c r="I5" s="21" t="s">
        <v>35</v>
      </c>
      <c r="J5" s="21" t="s">
        <v>36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>
        <v>2.47</v>
      </c>
      <c r="C6" s="6" t="s">
        <v>12</v>
      </c>
      <c r="D6" s="6">
        <v>84.0</v>
      </c>
      <c r="E6" s="6">
        <v>0.1</v>
      </c>
      <c r="F6" s="6">
        <v>10.0</v>
      </c>
      <c r="G6" s="6" t="s">
        <v>13</v>
      </c>
      <c r="H6" s="1"/>
      <c r="I6" s="1">
        <f>J3/I3</f>
        <v>0.04935938599</v>
      </c>
      <c r="J6" s="1">
        <f>abs(I6-G3)/G3</f>
        <v>0.9979973088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K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1"/>
      <c r="H8" s="1"/>
      <c r="K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9">
        <v>200.0</v>
      </c>
      <c r="C9" s="9">
        <v>1.0</v>
      </c>
      <c r="D9" s="9">
        <v>200.0</v>
      </c>
      <c r="E9" s="9">
        <v>1.0</v>
      </c>
      <c r="F9" s="9">
        <v>0.722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0" t="s">
        <v>37</v>
      </c>
      <c r="C11" s="11" t="s">
        <v>23</v>
      </c>
      <c r="D11" s="10" t="s">
        <v>38</v>
      </c>
      <c r="E11" s="11" t="s">
        <v>39</v>
      </c>
      <c r="F11" s="10" t="s">
        <v>40</v>
      </c>
      <c r="H11" s="10" t="s">
        <v>41</v>
      </c>
      <c r="I11" s="11" t="s">
        <v>42</v>
      </c>
      <c r="J11" s="10" t="s">
        <v>43</v>
      </c>
      <c r="K11" s="12" t="s">
        <v>44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0">
        <v>1.0</v>
      </c>
      <c r="B12" s="10">
        <v>-0.251</v>
      </c>
      <c r="C12" s="11">
        <f t="shared" ref="C12:C26" si="1">B12*(1/100)+0.003</f>
        <v>0.00049</v>
      </c>
      <c r="D12" s="10">
        <v>14.62</v>
      </c>
      <c r="E12" s="12">
        <f t="shared" ref="E12:E26" si="2">0.01/SQRT(12)</f>
        <v>0.002886751346</v>
      </c>
      <c r="F12" s="10">
        <v>10.0</v>
      </c>
      <c r="H12" s="10">
        <f t="shared" ref="H12:H26" si="3">B12*$F$9</f>
        <v>-0.181222</v>
      </c>
      <c r="I12" s="12"/>
      <c r="J12" s="13">
        <f t="shared" ref="J12:J26" si="4">(F12/D12*2*PI())^2</f>
        <v>18.46991903</v>
      </c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0">
        <v>2.0</v>
      </c>
      <c r="B13" s="10">
        <v>-0.387</v>
      </c>
      <c r="C13" s="11">
        <f t="shared" si="1"/>
        <v>-0.00087</v>
      </c>
      <c r="D13" s="10">
        <v>11.9</v>
      </c>
      <c r="E13" s="12">
        <f t="shared" si="2"/>
        <v>0.002886751346</v>
      </c>
      <c r="F13" s="10">
        <v>10.0</v>
      </c>
      <c r="H13" s="10">
        <f t="shared" si="3"/>
        <v>-0.279414</v>
      </c>
      <c r="I13" s="12"/>
      <c r="J13" s="13">
        <f t="shared" si="4"/>
        <v>27.87826962</v>
      </c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0">
        <v>3.0</v>
      </c>
      <c r="B14" s="10">
        <v>-0.449</v>
      </c>
      <c r="C14" s="11">
        <f t="shared" si="1"/>
        <v>-0.00149</v>
      </c>
      <c r="D14" s="10">
        <v>11.25</v>
      </c>
      <c r="E14" s="12">
        <f t="shared" si="2"/>
        <v>0.002886751346</v>
      </c>
      <c r="F14" s="10">
        <v>10.0</v>
      </c>
      <c r="H14" s="10">
        <f t="shared" si="3"/>
        <v>-0.324178</v>
      </c>
      <c r="I14" s="12"/>
      <c r="J14" s="13">
        <f t="shared" si="4"/>
        <v>31.19282379</v>
      </c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0">
        <v>4.0</v>
      </c>
      <c r="B15" s="10">
        <v>-0.574</v>
      </c>
      <c r="C15" s="11">
        <f t="shared" si="1"/>
        <v>-0.00274</v>
      </c>
      <c r="D15" s="10">
        <v>9.9</v>
      </c>
      <c r="E15" s="12">
        <f t="shared" si="2"/>
        <v>0.002886751346</v>
      </c>
      <c r="F15" s="10">
        <v>10.0</v>
      </c>
      <c r="H15" s="10">
        <f t="shared" si="3"/>
        <v>-0.414428</v>
      </c>
      <c r="I15" s="12"/>
      <c r="J15" s="13">
        <f t="shared" si="4"/>
        <v>40.27998939</v>
      </c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0">
        <v>5.0</v>
      </c>
      <c r="B16" s="10">
        <v>-0.715</v>
      </c>
      <c r="C16" s="11">
        <f t="shared" si="1"/>
        <v>-0.00415</v>
      </c>
      <c r="D16" s="10">
        <v>8.93</v>
      </c>
      <c r="E16" s="12">
        <f t="shared" si="2"/>
        <v>0.002886751346</v>
      </c>
      <c r="F16" s="10">
        <v>10.0</v>
      </c>
      <c r="H16" s="10">
        <f t="shared" si="3"/>
        <v>-0.51623</v>
      </c>
      <c r="I16" s="12"/>
      <c r="J16" s="13">
        <f t="shared" si="4"/>
        <v>49.50588389</v>
      </c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0">
        <v>6.0</v>
      </c>
      <c r="B17" s="10">
        <v>-0.857</v>
      </c>
      <c r="C17" s="11">
        <f t="shared" si="1"/>
        <v>-0.00557</v>
      </c>
      <c r="D17" s="10">
        <v>8.31</v>
      </c>
      <c r="E17" s="12">
        <f t="shared" si="2"/>
        <v>0.002886751346</v>
      </c>
      <c r="F17" s="10">
        <v>10.0</v>
      </c>
      <c r="H17" s="10">
        <f t="shared" si="3"/>
        <v>-0.618754</v>
      </c>
      <c r="I17" s="12"/>
      <c r="J17" s="13">
        <f t="shared" si="4"/>
        <v>57.16861741</v>
      </c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0">
        <v>7.0</v>
      </c>
      <c r="B18" s="10">
        <v>-0.958</v>
      </c>
      <c r="C18" s="11">
        <f t="shared" si="1"/>
        <v>-0.00658</v>
      </c>
      <c r="D18" s="10">
        <v>7.59</v>
      </c>
      <c r="E18" s="12">
        <f t="shared" si="2"/>
        <v>0.002886751346</v>
      </c>
      <c r="F18" s="10">
        <v>10.0</v>
      </c>
      <c r="H18" s="10">
        <f t="shared" si="3"/>
        <v>-0.691676</v>
      </c>
      <c r="I18" s="12"/>
      <c r="J18" s="13">
        <f t="shared" si="4"/>
        <v>68.52928252</v>
      </c>
      <c r="K18" s="1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0">
        <v>8.0</v>
      </c>
      <c r="B19" s="10">
        <v>-1.225</v>
      </c>
      <c r="C19" s="11">
        <f t="shared" si="1"/>
        <v>-0.00925</v>
      </c>
      <c r="D19" s="10">
        <v>6.75</v>
      </c>
      <c r="E19" s="12">
        <f t="shared" si="2"/>
        <v>0.002886751346</v>
      </c>
      <c r="F19" s="10">
        <v>10.0</v>
      </c>
      <c r="H19" s="10">
        <f t="shared" si="3"/>
        <v>-0.88445</v>
      </c>
      <c r="I19" s="12"/>
      <c r="J19" s="13">
        <f t="shared" si="4"/>
        <v>86.64673274</v>
      </c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0">
        <v>9.0</v>
      </c>
      <c r="B20" s="10">
        <v>-1.449</v>
      </c>
      <c r="C20" s="11">
        <f t="shared" si="1"/>
        <v>-0.01149</v>
      </c>
      <c r="D20" s="10">
        <v>6.06</v>
      </c>
      <c r="E20" s="12">
        <f t="shared" si="2"/>
        <v>0.002886751346</v>
      </c>
      <c r="F20" s="10">
        <v>10.0</v>
      </c>
      <c r="H20" s="10">
        <f t="shared" si="3"/>
        <v>-1.046178</v>
      </c>
      <c r="I20" s="12"/>
      <c r="J20" s="13">
        <f t="shared" si="4"/>
        <v>107.5014912</v>
      </c>
      <c r="K20" s="1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0">
        <v>10.0</v>
      </c>
      <c r="B21" s="10">
        <v>-1.616</v>
      </c>
      <c r="C21" s="11">
        <f t="shared" si="1"/>
        <v>-0.01316</v>
      </c>
      <c r="D21" s="10">
        <v>5.78</v>
      </c>
      <c r="E21" s="12">
        <f t="shared" si="2"/>
        <v>0.002886751346</v>
      </c>
      <c r="F21" s="10">
        <v>10.0</v>
      </c>
      <c r="H21" s="10">
        <f t="shared" si="3"/>
        <v>-1.166752</v>
      </c>
      <c r="I21" s="12"/>
      <c r="J21" s="13">
        <f t="shared" si="4"/>
        <v>118.1691359</v>
      </c>
      <c r="K21" s="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0">
        <v>11.0</v>
      </c>
      <c r="B22" s="10">
        <v>-1.738</v>
      </c>
      <c r="C22" s="11">
        <f t="shared" si="1"/>
        <v>-0.01438</v>
      </c>
      <c r="D22" s="10">
        <v>5.5</v>
      </c>
      <c r="E22" s="12">
        <f t="shared" si="2"/>
        <v>0.002886751346</v>
      </c>
      <c r="F22" s="10">
        <v>10.0</v>
      </c>
      <c r="H22" s="10">
        <f t="shared" si="3"/>
        <v>-1.254836</v>
      </c>
      <c r="I22" s="12"/>
      <c r="J22" s="13">
        <f t="shared" si="4"/>
        <v>130.5071656</v>
      </c>
      <c r="K22" s="1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0">
        <v>12.0</v>
      </c>
      <c r="B23" s="10">
        <v>-1.81</v>
      </c>
      <c r="C23" s="11">
        <f t="shared" si="1"/>
        <v>-0.0151</v>
      </c>
      <c r="D23" s="10">
        <v>5.31</v>
      </c>
      <c r="E23" s="12">
        <f t="shared" si="2"/>
        <v>0.002886751346</v>
      </c>
      <c r="F23" s="10">
        <v>10.0</v>
      </c>
      <c r="H23" s="10">
        <f t="shared" si="3"/>
        <v>-1.30682</v>
      </c>
      <c r="I23" s="12"/>
      <c r="J23" s="13">
        <f t="shared" si="4"/>
        <v>140.0137523</v>
      </c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0">
        <v>13.0</v>
      </c>
      <c r="B24" s="10">
        <v>-1.9</v>
      </c>
      <c r="C24" s="11">
        <f t="shared" si="1"/>
        <v>-0.016</v>
      </c>
      <c r="D24" s="10">
        <v>5.12</v>
      </c>
      <c r="E24" s="12">
        <f t="shared" si="2"/>
        <v>0.002886751346</v>
      </c>
      <c r="F24" s="10">
        <v>10.0</v>
      </c>
      <c r="H24" s="10">
        <f t="shared" si="3"/>
        <v>-1.3718</v>
      </c>
      <c r="I24" s="12"/>
      <c r="J24" s="13">
        <f t="shared" si="4"/>
        <v>150.5982117</v>
      </c>
      <c r="K24" s="1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0">
        <v>14.0</v>
      </c>
      <c r="B25" s="10">
        <v>-1.146</v>
      </c>
      <c r="C25" s="11">
        <f t="shared" si="1"/>
        <v>-0.00846</v>
      </c>
      <c r="D25" s="10">
        <v>6.96</v>
      </c>
      <c r="E25" s="12">
        <f t="shared" si="2"/>
        <v>0.002886751346</v>
      </c>
      <c r="F25" s="10">
        <v>10.0</v>
      </c>
      <c r="H25" s="10">
        <f t="shared" si="3"/>
        <v>-0.827412</v>
      </c>
      <c r="I25" s="12"/>
      <c r="J25" s="13">
        <f t="shared" si="4"/>
        <v>81.49693157</v>
      </c>
      <c r="K25" s="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0">
        <v>15.0</v>
      </c>
      <c r="B26" s="10">
        <v>-1.333</v>
      </c>
      <c r="C26" s="11">
        <f t="shared" si="1"/>
        <v>-0.01033</v>
      </c>
      <c r="D26" s="10">
        <v>6.37</v>
      </c>
      <c r="E26" s="12">
        <f t="shared" si="2"/>
        <v>0.002886751346</v>
      </c>
      <c r="F26" s="10">
        <v>10.0</v>
      </c>
      <c r="H26" s="10">
        <f t="shared" si="3"/>
        <v>-0.962426</v>
      </c>
      <c r="I26" s="12"/>
      <c r="J26" s="13">
        <f t="shared" si="4"/>
        <v>97.29283805</v>
      </c>
      <c r="K26" s="1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