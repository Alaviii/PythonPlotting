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 1" sheetId="1" r:id="rId5"/>
    <sheet state="visible" name="Tarea 2" sheetId="2" r:id="rId6"/>
    <sheet state="visible" name="Tarea 3a" sheetId="3" r:id="rId7"/>
    <sheet state="visible" name="Tarea 3b" sheetId="4" r:id="rId8"/>
    <sheet state="visible" name="Tarea 3c" sheetId="5" r:id="rId9"/>
  </sheets>
  <definedNames/>
  <calcPr/>
</workbook>
</file>

<file path=xl/sharedStrings.xml><?xml version="1.0" encoding="utf-8"?>
<sst xmlns="http://schemas.openxmlformats.org/spreadsheetml/2006/main" count="46" uniqueCount="23">
  <si>
    <t>B (mT)</t>
  </si>
  <si>
    <t>Error B</t>
  </si>
  <si>
    <t>I (A)</t>
  </si>
  <si>
    <t>Error I</t>
  </si>
  <si>
    <t>n</t>
  </si>
  <si>
    <t>T (s)</t>
  </si>
  <si>
    <t>Error T</t>
  </si>
  <si>
    <t>T</t>
  </si>
  <si>
    <t>B</t>
  </si>
  <si>
    <t>VAB(mv)</t>
  </si>
  <si>
    <t>Error V(mV)</t>
  </si>
  <si>
    <t>Amplific.V 10^3</t>
  </si>
  <si>
    <t>a partir de aqui en 4V y no 400 mv</t>
  </si>
  <si>
    <t>media</t>
  </si>
  <si>
    <t>desv tipica</t>
  </si>
  <si>
    <t>B(mT)</t>
  </si>
  <si>
    <t>T_1</t>
  </si>
  <si>
    <t>T_2</t>
  </si>
  <si>
    <t>T_3</t>
  </si>
  <si>
    <t>T_4</t>
  </si>
  <si>
    <t>VAB</t>
  </si>
  <si>
    <t>Error V</t>
  </si>
  <si>
    <t>T^-1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</si>
</sst>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"/>
    <numFmt numFmtId="165" formatCode="0.000000000000000000000000000"/>
    <numFmt numFmtId="166" formatCode="0.000000000000"/>
    <numFmt numFmtId="167" formatCode="0.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" numFmtId="0" xfId="0" applyFont="1"/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 (A) frente a B (mT)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'Tarea 1'!$C$1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'Tarea 1'!$A$2:$A$44</c:f>
            </c:numRef>
          </c:xVal>
          <c:yVal>
            <c:numRef>
              <c:f>'Tarea 1'!$C$2:$C$44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4476904"/>
        <c:axId val="419416764"/>
      </c:scatterChart>
      <c:valAx>
        <c:axId val="20544769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 (mT)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9416764"/>
      </c:valAx>
      <c:valAx>
        <c:axId val="4194167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 (A)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44769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VAB frente a B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'Tarea 2'!$H$1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Línea de tendencia de VAB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'Tarea 2'!$F$2:$F$28</c:f>
            </c:numRef>
          </c:xVal>
          <c:yVal>
            <c:numRef>
              <c:f>'Tarea 2'!$H$2:$H$28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56633"/>
        <c:axId val="634751857"/>
      </c:scatterChart>
      <c:valAx>
        <c:axId val="635566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4751857"/>
      </c:valAx>
      <c:valAx>
        <c:axId val="6347518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5566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T^-1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'Tarea 3a'!$L$1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'Tarea 3a'!$G$2:$G$25</c:f>
            </c:numRef>
          </c:xVal>
          <c:yVal>
            <c:numRef>
              <c:f>'Tarea 3a'!$L$2:$L$22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3890770"/>
        <c:axId val="699135186"/>
      </c:scatterChart>
      <c:valAx>
        <c:axId val="19938907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9135186"/>
      </c:valAx>
      <c:valAx>
        <c:axId val="6991351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T^-1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38907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T^-1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'Tarea 3b'!$L$1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'Tarea 3b'!$G$2:$G$16</c:f>
            </c:numRef>
          </c:xVal>
          <c:yVal>
            <c:numRef>
              <c:f>'Tarea 3b'!$L$2:$L$21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927136"/>
        <c:axId val="1370122497"/>
      </c:scatterChart>
      <c:valAx>
        <c:axId val="15159271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0122497"/>
      </c:valAx>
      <c:valAx>
        <c:axId val="13701224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T^-1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59271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T^-1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'Tarea 3c'!$L$1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'Tarea 3c'!$G$2:$G$16</c:f>
            </c:numRef>
          </c:xVal>
          <c:yVal>
            <c:numRef>
              <c:f>'Tarea 3c'!$L$2:$L$22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497305"/>
        <c:axId val="423106883"/>
      </c:scatterChart>
      <c:valAx>
        <c:axId val="5924973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3106883"/>
      </c:valAx>
      <c:valAx>
        <c:axId val="4231068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T^-1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24973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352425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685800</xdr:colOff>
      <xdr:row>1</xdr:row>
      <xdr:rowOff>66675</xdr:rowOff>
    </xdr:from>
    <xdr:ext cx="9648825" cy="59626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876300</xdr:colOff>
      <xdr:row>17</xdr:row>
      <xdr:rowOff>9525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876300</xdr:colOff>
      <xdr:row>16</xdr:row>
      <xdr:rowOff>9525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876300</xdr:colOff>
      <xdr:row>17</xdr:row>
      <xdr:rowOff>9525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5.9</v>
      </c>
      <c r="B2" s="1">
        <v>0.01</v>
      </c>
      <c r="C2" s="1">
        <v>0.06</v>
      </c>
    </row>
    <row r="3">
      <c r="A3" s="1">
        <v>12.2</v>
      </c>
      <c r="B3" s="1">
        <v>0.01</v>
      </c>
      <c r="C3" s="1">
        <v>0.13</v>
      </c>
    </row>
    <row r="4">
      <c r="A4" s="1">
        <v>19.4</v>
      </c>
      <c r="B4" s="1">
        <v>0.01</v>
      </c>
      <c r="C4" s="1">
        <v>0.21</v>
      </c>
    </row>
    <row r="5">
      <c r="A5" s="1">
        <v>29.6</v>
      </c>
      <c r="B5" s="1">
        <v>0.1</v>
      </c>
      <c r="C5" s="1">
        <v>0.32</v>
      </c>
    </row>
    <row r="6">
      <c r="A6" s="1">
        <v>33.2</v>
      </c>
      <c r="B6" s="1">
        <v>0.1</v>
      </c>
      <c r="C6" s="1">
        <v>0.35</v>
      </c>
    </row>
    <row r="7">
      <c r="A7" s="1">
        <v>40.1</v>
      </c>
      <c r="B7" s="1">
        <v>0.1</v>
      </c>
      <c r="C7" s="1">
        <v>0.43</v>
      </c>
    </row>
    <row r="8">
      <c r="A8" s="1">
        <v>36.0</v>
      </c>
      <c r="B8" s="1">
        <v>0.1</v>
      </c>
      <c r="C8" s="1">
        <v>0.38</v>
      </c>
    </row>
    <row r="9">
      <c r="A9" s="1">
        <v>49.8</v>
      </c>
      <c r="B9" s="1">
        <v>0.1</v>
      </c>
      <c r="C9" s="1">
        <v>0.53</v>
      </c>
    </row>
    <row r="10">
      <c r="A10" s="1">
        <v>53.8</v>
      </c>
      <c r="B10" s="1">
        <v>0.1</v>
      </c>
      <c r="C10" s="1">
        <v>0.57</v>
      </c>
    </row>
    <row r="11">
      <c r="A11" s="1">
        <v>62.3</v>
      </c>
      <c r="B11" s="1">
        <v>0.1</v>
      </c>
      <c r="C11" s="1">
        <v>0.65</v>
      </c>
    </row>
    <row r="12">
      <c r="A12" s="1">
        <v>75.6</v>
      </c>
      <c r="B12" s="1">
        <v>0.1</v>
      </c>
      <c r="C12" s="1">
        <v>0.79</v>
      </c>
    </row>
    <row r="13">
      <c r="A13" s="1">
        <v>76.3</v>
      </c>
      <c r="B13" s="1">
        <v>0.1</v>
      </c>
      <c r="C13" s="1">
        <v>0.78</v>
      </c>
    </row>
    <row r="14">
      <c r="A14" s="1">
        <v>100.3</v>
      </c>
      <c r="B14" s="1">
        <v>0.1</v>
      </c>
      <c r="C14" s="1">
        <v>1.02</v>
      </c>
    </row>
    <row r="15">
      <c r="A15" s="1">
        <v>110.7</v>
      </c>
      <c r="B15" s="1">
        <v>0.1</v>
      </c>
      <c r="C15" s="1">
        <v>1.13</v>
      </c>
    </row>
    <row r="16">
      <c r="A16" s="1">
        <v>108.7</v>
      </c>
      <c r="B16" s="1">
        <v>0.1</v>
      </c>
      <c r="C16" s="1">
        <v>1.12</v>
      </c>
    </row>
    <row r="17">
      <c r="A17" s="1">
        <v>112.6</v>
      </c>
      <c r="B17" s="1">
        <v>0.1</v>
      </c>
      <c r="C17" s="1">
        <v>1.16</v>
      </c>
    </row>
    <row r="18">
      <c r="A18" s="1">
        <v>109.6</v>
      </c>
      <c r="B18" s="1">
        <v>0.1</v>
      </c>
      <c r="C18" s="1">
        <v>1.11</v>
      </c>
    </row>
    <row r="19">
      <c r="A19" s="1">
        <v>125.6</v>
      </c>
      <c r="B19" s="1">
        <v>0.1</v>
      </c>
      <c r="C19" s="1">
        <v>1.28</v>
      </c>
    </row>
    <row r="20">
      <c r="A20" s="1">
        <v>115.9</v>
      </c>
      <c r="B20" s="1">
        <v>0.1</v>
      </c>
      <c r="C20" s="1">
        <v>1.16</v>
      </c>
    </row>
    <row r="21">
      <c r="A21" s="1">
        <v>123.4</v>
      </c>
      <c r="B21" s="1">
        <v>0.1</v>
      </c>
      <c r="C21" s="1">
        <v>1.25</v>
      </c>
    </row>
    <row r="22">
      <c r="A22" s="1">
        <v>115.8</v>
      </c>
      <c r="B22" s="1">
        <v>0.1</v>
      </c>
      <c r="C22" s="1">
        <v>1.16</v>
      </c>
    </row>
    <row r="23">
      <c r="A23" s="1">
        <v>103.4</v>
      </c>
      <c r="B23" s="1">
        <v>0.1</v>
      </c>
      <c r="C23" s="1">
        <v>1.03</v>
      </c>
    </row>
    <row r="24">
      <c r="A24" s="1">
        <v>95.6</v>
      </c>
      <c r="B24" s="1">
        <v>0.1</v>
      </c>
      <c r="C24" s="1">
        <v>0.95</v>
      </c>
    </row>
    <row r="25">
      <c r="A25" s="1">
        <v>94.0</v>
      </c>
      <c r="B25" s="1">
        <v>0.1</v>
      </c>
      <c r="C25" s="1">
        <v>0.93</v>
      </c>
    </row>
    <row r="26">
      <c r="A26" s="1">
        <v>86.9</v>
      </c>
      <c r="B26" s="1">
        <v>0.1</v>
      </c>
      <c r="C26" s="1">
        <v>0.86</v>
      </c>
    </row>
    <row r="27">
      <c r="A27" s="1">
        <v>83.8</v>
      </c>
      <c r="B27" s="1">
        <v>0.1</v>
      </c>
      <c r="C27" s="1">
        <v>0.83</v>
      </c>
    </row>
    <row r="28">
      <c r="A28" s="1">
        <v>77.0</v>
      </c>
      <c r="B28" s="1">
        <v>0.1</v>
      </c>
      <c r="C28" s="1">
        <v>0.76</v>
      </c>
    </row>
    <row r="29">
      <c r="A29" s="1">
        <v>74.8</v>
      </c>
      <c r="B29" s="1">
        <v>0.1</v>
      </c>
      <c r="C29" s="1">
        <v>0.74</v>
      </c>
    </row>
    <row r="30">
      <c r="A30" s="1">
        <v>90.1</v>
      </c>
      <c r="B30" s="1">
        <v>0.1</v>
      </c>
      <c r="C30" s="1">
        <v>0.9</v>
      </c>
    </row>
    <row r="31">
      <c r="A31" s="1">
        <v>71.1</v>
      </c>
      <c r="B31" s="1">
        <v>0.1</v>
      </c>
      <c r="C31" s="1">
        <v>0.7</v>
      </c>
    </row>
    <row r="32">
      <c r="A32" s="1">
        <v>65.3</v>
      </c>
      <c r="B32" s="1">
        <v>0.1</v>
      </c>
      <c r="C32" s="1">
        <v>0.65</v>
      </c>
    </row>
    <row r="33">
      <c r="A33" s="1">
        <v>60.4</v>
      </c>
      <c r="B33" s="1">
        <v>0.1</v>
      </c>
      <c r="C33" s="1">
        <v>0.6</v>
      </c>
    </row>
    <row r="34">
      <c r="A34" s="1">
        <v>66.9</v>
      </c>
      <c r="B34" s="1">
        <v>0.1</v>
      </c>
      <c r="C34" s="1">
        <v>0.67</v>
      </c>
    </row>
    <row r="35">
      <c r="A35" s="1">
        <v>65.4</v>
      </c>
      <c r="B35" s="1">
        <v>0.1</v>
      </c>
      <c r="C35" s="1">
        <v>0.66</v>
      </c>
    </row>
    <row r="36">
      <c r="A36" s="1">
        <v>33.6</v>
      </c>
      <c r="B36" s="1">
        <v>0.1</v>
      </c>
      <c r="C36" s="1">
        <v>0.32</v>
      </c>
    </row>
    <row r="37">
      <c r="A37" s="1">
        <v>30.1</v>
      </c>
      <c r="B37" s="1">
        <v>0.1</v>
      </c>
      <c r="C37" s="1">
        <v>0.29</v>
      </c>
    </row>
    <row r="38">
      <c r="A38" s="1">
        <v>22.8</v>
      </c>
      <c r="B38" s="1">
        <v>0.1</v>
      </c>
      <c r="C38" s="1">
        <v>0.22</v>
      </c>
    </row>
    <row r="39">
      <c r="A39" s="1">
        <v>9.4</v>
      </c>
      <c r="B39" s="1">
        <v>0.01</v>
      </c>
      <c r="C39" s="1">
        <v>0.08</v>
      </c>
    </row>
    <row r="40">
      <c r="A40" s="1">
        <v>18.7</v>
      </c>
      <c r="B40" s="1">
        <v>0.1</v>
      </c>
      <c r="C40" s="1">
        <v>0.2</v>
      </c>
    </row>
    <row r="41">
      <c r="A41" s="1">
        <v>25.1</v>
      </c>
      <c r="B41" s="1">
        <v>0.1</v>
      </c>
      <c r="C41" s="1">
        <v>0.25</v>
      </c>
    </row>
    <row r="42">
      <c r="A42" s="1">
        <v>38.4</v>
      </c>
      <c r="B42" s="1">
        <v>0.1</v>
      </c>
      <c r="C42" s="1">
        <v>0.41</v>
      </c>
    </row>
    <row r="43">
      <c r="A43" s="1">
        <v>45.5</v>
      </c>
      <c r="B43" s="1">
        <v>0.1</v>
      </c>
      <c r="C43" s="1">
        <v>0.47</v>
      </c>
    </row>
    <row r="44">
      <c r="A44" s="1">
        <v>0.0</v>
      </c>
      <c r="B44" s="1">
        <v>0.01</v>
      </c>
      <c r="C44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4" max="4" width="26.38"/>
  </cols>
  <sheetData>
    <row r="1">
      <c r="A1" s="1" t="s">
        <v>4</v>
      </c>
      <c r="B1" s="1" t="s">
        <v>5</v>
      </c>
      <c r="C1" s="1" t="s">
        <v>6</v>
      </c>
      <c r="E1" s="1" t="s">
        <v>7</v>
      </c>
      <c r="F1" s="1" t="s">
        <v>8</v>
      </c>
      <c r="G1" s="1" t="s">
        <v>1</v>
      </c>
      <c r="H1" s="1" t="s">
        <v>9</v>
      </c>
      <c r="I1" s="1" t="s">
        <v>10</v>
      </c>
      <c r="J1" s="1" t="s">
        <v>11</v>
      </c>
    </row>
    <row r="2">
      <c r="A2" s="1">
        <v>1.0</v>
      </c>
      <c r="B2" s="1">
        <v>0.693</v>
      </c>
      <c r="C2" s="2">
        <f t="shared" ref="C2:C11" si="1">0.001/SQRT(12)</f>
        <v>0.0002886751346</v>
      </c>
      <c r="F2" s="3">
        <v>0.0</v>
      </c>
      <c r="G2" s="4">
        <f t="shared" ref="G2:G28" si="2">0.1/SQRT(12)</f>
        <v>0.02886751346</v>
      </c>
      <c r="H2" s="3">
        <v>-43.1</v>
      </c>
      <c r="I2" s="4">
        <f t="shared" ref="I2:I8" si="3">ABS(H2*0.007)+0.1</f>
        <v>0.4017</v>
      </c>
    </row>
    <row r="3">
      <c r="A3" s="1">
        <v>2.0</v>
      </c>
      <c r="B3" s="1">
        <v>0.685</v>
      </c>
      <c r="C3" s="2">
        <f t="shared" si="1"/>
        <v>0.0002886751346</v>
      </c>
      <c r="F3" s="3">
        <v>0.1</v>
      </c>
      <c r="G3" s="4">
        <f t="shared" si="2"/>
        <v>0.02886751346</v>
      </c>
      <c r="H3" s="3">
        <v>-42.3</v>
      </c>
      <c r="I3" s="4">
        <f t="shared" si="3"/>
        <v>0.3961</v>
      </c>
    </row>
    <row r="4">
      <c r="A4" s="1">
        <v>3.0</v>
      </c>
      <c r="B4" s="1">
        <v>0.69</v>
      </c>
      <c r="C4" s="2">
        <f t="shared" si="1"/>
        <v>0.0002886751346</v>
      </c>
      <c r="E4" s="1">
        <v>0.7</v>
      </c>
      <c r="F4" s="3">
        <v>0.4</v>
      </c>
      <c r="G4" s="4">
        <f t="shared" si="2"/>
        <v>0.02886751346</v>
      </c>
      <c r="H4" s="3">
        <v>-54.1</v>
      </c>
      <c r="I4" s="4">
        <f t="shared" si="3"/>
        <v>0.4787</v>
      </c>
    </row>
    <row r="5">
      <c r="A5" s="1">
        <v>4.0</v>
      </c>
      <c r="B5" s="1">
        <v>0.685</v>
      </c>
      <c r="C5" s="2">
        <f t="shared" si="1"/>
        <v>0.0002886751346</v>
      </c>
      <c r="E5" s="1">
        <v>0.709</v>
      </c>
      <c r="F5" s="3">
        <v>10.9</v>
      </c>
      <c r="G5" s="4">
        <f t="shared" si="2"/>
        <v>0.02886751346</v>
      </c>
      <c r="H5" s="3">
        <v>-188.9</v>
      </c>
      <c r="I5" s="4">
        <f t="shared" si="3"/>
        <v>1.4223</v>
      </c>
    </row>
    <row r="6">
      <c r="A6" s="1">
        <v>5.0</v>
      </c>
      <c r="B6" s="1">
        <v>0.691</v>
      </c>
      <c r="C6" s="2">
        <f t="shared" si="1"/>
        <v>0.0002886751346</v>
      </c>
      <c r="E6" s="1">
        <v>0.709</v>
      </c>
      <c r="F6" s="3">
        <v>13.9</v>
      </c>
      <c r="G6" s="4">
        <f t="shared" si="2"/>
        <v>0.02886751346</v>
      </c>
      <c r="H6" s="3">
        <v>-232.1</v>
      </c>
      <c r="I6" s="4">
        <f t="shared" si="3"/>
        <v>1.7247</v>
      </c>
    </row>
    <row r="7">
      <c r="A7" s="1">
        <v>6.0</v>
      </c>
      <c r="B7" s="1">
        <v>0.681</v>
      </c>
      <c r="C7" s="2">
        <f t="shared" si="1"/>
        <v>0.0002886751346</v>
      </c>
      <c r="F7" s="3">
        <v>18.7</v>
      </c>
      <c r="G7" s="4">
        <f t="shared" si="2"/>
        <v>0.02886751346</v>
      </c>
      <c r="H7" s="3">
        <v>-282.3</v>
      </c>
      <c r="I7" s="4">
        <f t="shared" si="3"/>
        <v>2.0761</v>
      </c>
    </row>
    <row r="8">
      <c r="A8" s="1">
        <v>7.0</v>
      </c>
      <c r="B8" s="1">
        <v>0.687</v>
      </c>
      <c r="C8" s="2">
        <f t="shared" si="1"/>
        <v>0.0002886751346</v>
      </c>
      <c r="D8" s="1" t="s">
        <v>12</v>
      </c>
      <c r="F8" s="3">
        <v>26.0</v>
      </c>
      <c r="G8" s="4">
        <f t="shared" si="2"/>
        <v>0.02886751346</v>
      </c>
      <c r="H8" s="3">
        <v>-373.1</v>
      </c>
      <c r="I8" s="4">
        <f t="shared" si="3"/>
        <v>2.7117</v>
      </c>
    </row>
    <row r="9">
      <c r="A9" s="1">
        <v>8.0</v>
      </c>
      <c r="B9" s="1">
        <v>0.682</v>
      </c>
      <c r="C9" s="2">
        <f t="shared" si="1"/>
        <v>0.0002886751346</v>
      </c>
      <c r="F9" s="3">
        <v>43.5</v>
      </c>
      <c r="G9" s="4">
        <f t="shared" si="2"/>
        <v>0.02886751346</v>
      </c>
      <c r="H9" s="3">
        <v>-603.0</v>
      </c>
      <c r="I9" s="4">
        <f t="shared" ref="I9:I28" si="4">ABS(H9*0.007)+1</f>
        <v>5.221</v>
      </c>
    </row>
    <row r="10">
      <c r="A10" s="1">
        <v>9.0</v>
      </c>
      <c r="B10" s="1">
        <v>0.683</v>
      </c>
      <c r="C10" s="2">
        <f t="shared" si="1"/>
        <v>0.0002886751346</v>
      </c>
      <c r="E10" s="1">
        <v>0.692</v>
      </c>
      <c r="F10" s="3">
        <v>63.5</v>
      </c>
      <c r="G10" s="4">
        <f t="shared" si="2"/>
        <v>0.02886751346</v>
      </c>
      <c r="H10" s="3">
        <v>-848.0</v>
      </c>
      <c r="I10" s="4">
        <f t="shared" si="4"/>
        <v>6.936</v>
      </c>
    </row>
    <row r="11">
      <c r="A11" s="1">
        <v>10.0</v>
      </c>
      <c r="B11" s="1">
        <v>0.684</v>
      </c>
      <c r="C11" s="2">
        <f t="shared" si="1"/>
        <v>0.0002886751346</v>
      </c>
      <c r="F11" s="3">
        <v>76.0</v>
      </c>
      <c r="G11" s="4">
        <f t="shared" si="2"/>
        <v>0.02886751346</v>
      </c>
      <c r="H11" s="3">
        <v>-1016.0</v>
      </c>
      <c r="I11" s="4">
        <f t="shared" si="4"/>
        <v>8.112</v>
      </c>
    </row>
    <row r="12">
      <c r="A12" s="1" t="s">
        <v>13</v>
      </c>
      <c r="B12" s="5">
        <f>AVERAGE(B2:B11,E4:E6,E10,E13,E20,E25)</f>
        <v>0.6914117647</v>
      </c>
      <c r="C12" s="6">
        <f>SQRT(B13^2/17+C11^2)</f>
        <v>0.002116795853</v>
      </c>
      <c r="F12" s="3">
        <v>78.9</v>
      </c>
      <c r="G12" s="4">
        <f t="shared" si="2"/>
        <v>0.02886751346</v>
      </c>
      <c r="H12" s="3">
        <v>-1048.0</v>
      </c>
      <c r="I12" s="4">
        <f t="shared" si="4"/>
        <v>8.336</v>
      </c>
    </row>
    <row r="13">
      <c r="A13" s="1" t="s">
        <v>14</v>
      </c>
      <c r="B13" s="6">
        <f>STDEV(B2:B11,E4:E6,E10,E13,E20,E25)</f>
        <v>0.008646233454</v>
      </c>
      <c r="C13" s="6"/>
      <c r="E13" s="1">
        <v>0.7</v>
      </c>
      <c r="F13" s="3">
        <v>92.9</v>
      </c>
      <c r="G13" s="4">
        <f t="shared" si="2"/>
        <v>0.02886751346</v>
      </c>
      <c r="H13" s="3">
        <v>-1218.0</v>
      </c>
      <c r="I13" s="4">
        <f t="shared" si="4"/>
        <v>9.526</v>
      </c>
    </row>
    <row r="14">
      <c r="F14" s="3">
        <v>110.1</v>
      </c>
      <c r="G14" s="4">
        <f t="shared" si="2"/>
        <v>0.02886751346</v>
      </c>
      <c r="H14" s="3">
        <v>-1444.0</v>
      </c>
      <c r="I14" s="4">
        <f t="shared" si="4"/>
        <v>11.108</v>
      </c>
    </row>
    <row r="15">
      <c r="F15" s="3">
        <v>123.8</v>
      </c>
      <c r="G15" s="4">
        <f t="shared" si="2"/>
        <v>0.02886751346</v>
      </c>
      <c r="H15" s="3">
        <v>-1610.0</v>
      </c>
      <c r="I15" s="4">
        <f t="shared" si="4"/>
        <v>12.27</v>
      </c>
    </row>
    <row r="16">
      <c r="F16" s="3">
        <v>137.7</v>
      </c>
      <c r="G16" s="4">
        <f t="shared" si="2"/>
        <v>0.02886751346</v>
      </c>
      <c r="H16" s="3">
        <v>-1783.0</v>
      </c>
      <c r="I16" s="4">
        <f t="shared" si="4"/>
        <v>13.481</v>
      </c>
    </row>
    <row r="17">
      <c r="F17" s="3">
        <v>108.7</v>
      </c>
      <c r="G17" s="4">
        <f t="shared" si="2"/>
        <v>0.02886751346</v>
      </c>
      <c r="H17" s="3">
        <v>-1435.0</v>
      </c>
      <c r="I17" s="4">
        <f t="shared" si="4"/>
        <v>11.045</v>
      </c>
    </row>
    <row r="18">
      <c r="F18" s="3">
        <v>144.9</v>
      </c>
      <c r="G18" s="4">
        <f t="shared" si="2"/>
        <v>0.02886751346</v>
      </c>
      <c r="H18" s="3">
        <v>-1868.0</v>
      </c>
      <c r="I18" s="4">
        <f t="shared" si="4"/>
        <v>14.076</v>
      </c>
    </row>
    <row r="19">
      <c r="F19" s="3">
        <v>129.8</v>
      </c>
      <c r="G19" s="4">
        <f t="shared" si="2"/>
        <v>0.02886751346</v>
      </c>
      <c r="H19" s="3">
        <v>-1715.0</v>
      </c>
      <c r="I19" s="4">
        <f t="shared" si="4"/>
        <v>13.005</v>
      </c>
    </row>
    <row r="20">
      <c r="E20" s="1">
        <v>0.691</v>
      </c>
      <c r="F20" s="3">
        <v>106.3</v>
      </c>
      <c r="G20" s="4">
        <f t="shared" si="2"/>
        <v>0.02886751346</v>
      </c>
      <c r="H20" s="3">
        <v>-1403.0</v>
      </c>
      <c r="I20" s="4">
        <f t="shared" si="4"/>
        <v>10.821</v>
      </c>
    </row>
    <row r="21">
      <c r="F21" s="3">
        <v>97.5</v>
      </c>
      <c r="G21" s="4">
        <f t="shared" si="2"/>
        <v>0.02886751346</v>
      </c>
      <c r="H21" s="3">
        <v>-1267.0</v>
      </c>
      <c r="I21" s="4">
        <f t="shared" si="4"/>
        <v>9.869</v>
      </c>
    </row>
    <row r="22">
      <c r="F22" s="3">
        <v>84.5</v>
      </c>
      <c r="G22" s="4">
        <f t="shared" si="2"/>
        <v>0.02886751346</v>
      </c>
      <c r="H22" s="3">
        <v>-1122.0</v>
      </c>
      <c r="I22" s="4">
        <f t="shared" si="4"/>
        <v>8.854</v>
      </c>
    </row>
    <row r="23">
      <c r="F23" s="3">
        <v>66.6</v>
      </c>
      <c r="G23" s="4">
        <f t="shared" si="2"/>
        <v>0.02886751346</v>
      </c>
      <c r="H23" s="3">
        <v>-896.0</v>
      </c>
      <c r="I23" s="4">
        <f t="shared" si="4"/>
        <v>7.272</v>
      </c>
    </row>
    <row r="24">
      <c r="F24" s="3">
        <v>55.0</v>
      </c>
      <c r="G24" s="4">
        <f t="shared" si="2"/>
        <v>0.02886751346</v>
      </c>
      <c r="H24" s="3">
        <v>-748.0</v>
      </c>
      <c r="I24" s="4">
        <f t="shared" si="4"/>
        <v>6.236</v>
      </c>
    </row>
    <row r="25">
      <c r="E25" s="1">
        <v>0.692</v>
      </c>
      <c r="F25" s="3">
        <v>29.5</v>
      </c>
      <c r="G25" s="4">
        <f t="shared" si="2"/>
        <v>0.02886751346</v>
      </c>
      <c r="H25" s="3">
        <v>-425.0</v>
      </c>
      <c r="I25" s="4">
        <f t="shared" si="4"/>
        <v>3.975</v>
      </c>
    </row>
    <row r="26">
      <c r="F26" s="3">
        <v>35.5</v>
      </c>
      <c r="G26" s="4">
        <f t="shared" si="2"/>
        <v>0.02886751346</v>
      </c>
      <c r="H26" s="3">
        <v>-493.0</v>
      </c>
      <c r="I26" s="4">
        <f t="shared" si="4"/>
        <v>4.451</v>
      </c>
    </row>
    <row r="27">
      <c r="F27" s="3">
        <v>50.6</v>
      </c>
      <c r="G27" s="4">
        <f t="shared" si="2"/>
        <v>0.02886751346</v>
      </c>
      <c r="H27" s="3">
        <v>-688.0</v>
      </c>
      <c r="I27" s="4">
        <f t="shared" si="4"/>
        <v>5.816</v>
      </c>
    </row>
    <row r="28">
      <c r="F28" s="3">
        <v>116.3</v>
      </c>
      <c r="G28" s="4">
        <f t="shared" si="2"/>
        <v>0.02886751346</v>
      </c>
      <c r="H28" s="3">
        <v>-1529.0</v>
      </c>
      <c r="I28" s="4">
        <f t="shared" si="4"/>
        <v>11.703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11</v>
      </c>
      <c r="L1" s="1" t="s">
        <v>22</v>
      </c>
    </row>
    <row r="2">
      <c r="A2" s="1">
        <v>24.6</v>
      </c>
      <c r="C2" s="1">
        <v>0.693</v>
      </c>
      <c r="D2" s="1">
        <v>0.691</v>
      </c>
      <c r="E2" s="1">
        <v>0.693</v>
      </c>
      <c r="F2" s="1">
        <v>0.69</v>
      </c>
      <c r="G2" s="1">
        <v>-366.0</v>
      </c>
      <c r="H2" s="7">
        <f t="shared" ref="H2:H16" si="1">ABS(G2*0.007)+1</f>
        <v>3.562</v>
      </c>
      <c r="L2" s="7">
        <f t="shared" ref="L2:L16" si="2">1/AVERAGE(C2:F2)</f>
        <v>1.445608963</v>
      </c>
    </row>
    <row r="3">
      <c r="A3" s="1">
        <v>24.5</v>
      </c>
      <c r="C3" s="1">
        <v>0.808</v>
      </c>
      <c r="D3" s="1">
        <v>0.81</v>
      </c>
      <c r="E3" s="1">
        <v>0.808</v>
      </c>
      <c r="F3" s="1">
        <v>0.808</v>
      </c>
      <c r="G3" s="1">
        <v>-310.0</v>
      </c>
      <c r="H3" s="7">
        <f t="shared" si="1"/>
        <v>3.17</v>
      </c>
      <c r="L3" s="7">
        <f t="shared" si="2"/>
        <v>1.23685838</v>
      </c>
    </row>
    <row r="4">
      <c r="A4" s="1">
        <v>24.4</v>
      </c>
      <c r="C4" s="1">
        <v>0.964</v>
      </c>
      <c r="D4" s="1">
        <v>0.969</v>
      </c>
      <c r="E4" s="1">
        <v>0.97</v>
      </c>
      <c r="F4" s="1">
        <v>0.97</v>
      </c>
      <c r="G4" s="1">
        <v>-258.0</v>
      </c>
      <c r="H4" s="7">
        <f t="shared" si="1"/>
        <v>2.806</v>
      </c>
      <c r="L4" s="7">
        <f t="shared" si="2"/>
        <v>1.032791118</v>
      </c>
    </row>
    <row r="5">
      <c r="A5" s="1">
        <v>24.3</v>
      </c>
      <c r="C5" s="1">
        <v>1.01</v>
      </c>
      <c r="D5" s="1">
        <v>1.024</v>
      </c>
      <c r="E5" s="1">
        <v>1.007</v>
      </c>
      <c r="F5" s="1">
        <v>1.034</v>
      </c>
      <c r="G5" s="1">
        <v>-240.0</v>
      </c>
      <c r="H5" s="7">
        <f t="shared" si="1"/>
        <v>2.68</v>
      </c>
      <c r="L5" s="7">
        <f t="shared" si="2"/>
        <v>0.981595092</v>
      </c>
    </row>
    <row r="6">
      <c r="A6" s="1">
        <v>24.3</v>
      </c>
      <c r="C6" s="1">
        <v>1.456</v>
      </c>
      <c r="D6" s="1">
        <v>1.46</v>
      </c>
      <c r="E6" s="1">
        <v>1.476</v>
      </c>
      <c r="F6" s="1">
        <v>1.46</v>
      </c>
      <c r="G6" s="1">
        <v>-168.0</v>
      </c>
      <c r="H6" s="7">
        <f t="shared" si="1"/>
        <v>2.176</v>
      </c>
      <c r="L6" s="7">
        <f t="shared" si="2"/>
        <v>0.6835269993</v>
      </c>
    </row>
    <row r="7">
      <c r="A7" s="1">
        <v>24.4</v>
      </c>
      <c r="C7" s="1">
        <v>1.08</v>
      </c>
      <c r="D7" s="1">
        <v>1.068</v>
      </c>
      <c r="E7" s="1">
        <v>1.074</v>
      </c>
      <c r="F7" s="1">
        <v>1.075</v>
      </c>
      <c r="G7" s="1">
        <v>-230.0</v>
      </c>
      <c r="H7" s="7">
        <f t="shared" si="1"/>
        <v>2.61</v>
      </c>
      <c r="L7" s="7">
        <f t="shared" si="2"/>
        <v>0.9308820107</v>
      </c>
    </row>
    <row r="8">
      <c r="A8" s="1">
        <v>24.5</v>
      </c>
      <c r="C8" s="1">
        <v>0.607</v>
      </c>
      <c r="D8" s="1">
        <v>0.607</v>
      </c>
      <c r="E8" s="1">
        <v>0.608</v>
      </c>
      <c r="F8" s="1">
        <v>0.607</v>
      </c>
      <c r="G8" s="1">
        <v>-417.0</v>
      </c>
      <c r="H8" s="7">
        <f t="shared" si="1"/>
        <v>3.919</v>
      </c>
      <c r="L8" s="7">
        <f t="shared" si="2"/>
        <v>1.646768217</v>
      </c>
    </row>
    <row r="9">
      <c r="A9" s="1">
        <v>24.5</v>
      </c>
      <c r="C9" s="1">
        <v>0.542</v>
      </c>
      <c r="D9" s="1">
        <v>0.542</v>
      </c>
      <c r="E9" s="1">
        <v>0.541</v>
      </c>
      <c r="F9" s="1">
        <v>0.542</v>
      </c>
      <c r="G9" s="1">
        <v>-469.0</v>
      </c>
      <c r="H9" s="7">
        <f t="shared" si="1"/>
        <v>4.283</v>
      </c>
      <c r="L9" s="7">
        <f t="shared" si="2"/>
        <v>1.845869866</v>
      </c>
    </row>
    <row r="10">
      <c r="A10" s="1">
        <v>24.7</v>
      </c>
      <c r="C10" s="1">
        <v>0.506</v>
      </c>
      <c r="D10" s="1">
        <v>0.505</v>
      </c>
      <c r="E10" s="1">
        <v>0.505</v>
      </c>
      <c r="F10" s="1">
        <v>0.506</v>
      </c>
      <c r="G10" s="1">
        <v>-504.0</v>
      </c>
      <c r="H10" s="7">
        <f t="shared" si="1"/>
        <v>4.528</v>
      </c>
      <c r="L10" s="7">
        <f t="shared" si="2"/>
        <v>1.978239367</v>
      </c>
    </row>
    <row r="11">
      <c r="A11" s="1">
        <v>24.7</v>
      </c>
      <c r="C11" s="1">
        <v>0.472</v>
      </c>
      <c r="D11" s="1">
        <v>0.474</v>
      </c>
      <c r="E11" s="1">
        <v>0.472</v>
      </c>
      <c r="F11" s="1">
        <v>0.474</v>
      </c>
      <c r="G11" s="1">
        <v>-540.0</v>
      </c>
      <c r="H11" s="7">
        <f t="shared" si="1"/>
        <v>4.78</v>
      </c>
      <c r="L11" s="7">
        <f t="shared" si="2"/>
        <v>2.114164905</v>
      </c>
    </row>
    <row r="12">
      <c r="A12" s="1">
        <v>24.6</v>
      </c>
      <c r="C12" s="1">
        <v>0.447</v>
      </c>
      <c r="D12" s="1">
        <v>0.449</v>
      </c>
      <c r="E12" s="1">
        <v>0.448</v>
      </c>
      <c r="F12" s="1">
        <v>0.447</v>
      </c>
      <c r="G12" s="1">
        <v>-570.0</v>
      </c>
      <c r="H12" s="7">
        <f t="shared" si="1"/>
        <v>4.99</v>
      </c>
      <c r="L12" s="7">
        <f t="shared" si="2"/>
        <v>2.233389168</v>
      </c>
    </row>
    <row r="13">
      <c r="A13" s="1">
        <v>24.6</v>
      </c>
      <c r="C13" s="1">
        <v>0.405</v>
      </c>
      <c r="D13" s="1">
        <v>0.405</v>
      </c>
      <c r="E13" s="1">
        <v>0.404</v>
      </c>
      <c r="F13" s="1">
        <v>0.405</v>
      </c>
      <c r="G13" s="1">
        <v>-635.0</v>
      </c>
      <c r="H13" s="7">
        <f t="shared" si="1"/>
        <v>5.445</v>
      </c>
      <c r="L13" s="7">
        <f t="shared" si="2"/>
        <v>2.470660902</v>
      </c>
    </row>
    <row r="14">
      <c r="A14" s="1">
        <v>24.5</v>
      </c>
      <c r="C14" s="1">
        <v>0.383</v>
      </c>
      <c r="D14" s="1">
        <v>0.387</v>
      </c>
      <c r="E14" s="1">
        <v>0.387</v>
      </c>
      <c r="F14" s="1">
        <v>0.385</v>
      </c>
      <c r="G14" s="1">
        <v>-663.0</v>
      </c>
      <c r="H14" s="7">
        <f t="shared" si="1"/>
        <v>5.641</v>
      </c>
      <c r="L14" s="7">
        <f t="shared" si="2"/>
        <v>2.594033722</v>
      </c>
    </row>
    <row r="15">
      <c r="A15" s="1">
        <v>24.6</v>
      </c>
      <c r="C15" s="1">
        <v>0.374</v>
      </c>
      <c r="D15" s="1">
        <v>0.374</v>
      </c>
      <c r="E15" s="1">
        <v>0.374</v>
      </c>
      <c r="F15" s="1">
        <v>0.373</v>
      </c>
      <c r="G15" s="1">
        <v>-686.0</v>
      </c>
      <c r="H15" s="7">
        <f t="shared" si="1"/>
        <v>5.802</v>
      </c>
      <c r="L15" s="7">
        <f t="shared" si="2"/>
        <v>2.675585284</v>
      </c>
    </row>
    <row r="16">
      <c r="A16" s="1">
        <v>24.6</v>
      </c>
      <c r="C16" s="1">
        <v>0.339</v>
      </c>
      <c r="D16" s="1">
        <v>0.34</v>
      </c>
      <c r="E16" s="1">
        <v>0.342</v>
      </c>
      <c r="F16" s="1">
        <v>0.341</v>
      </c>
      <c r="G16" s="1">
        <v>-750.0</v>
      </c>
      <c r="H16" s="7">
        <f t="shared" si="1"/>
        <v>6.25</v>
      </c>
      <c r="L16" s="7">
        <f t="shared" si="2"/>
        <v>2.936857562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15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11</v>
      </c>
      <c r="L1" s="1" t="s">
        <v>22</v>
      </c>
    </row>
    <row r="2">
      <c r="A2" s="1">
        <v>43.5</v>
      </c>
      <c r="C2" s="1">
        <v>1.418</v>
      </c>
      <c r="D2" s="1">
        <v>1.427</v>
      </c>
      <c r="E2" s="1">
        <v>1.428</v>
      </c>
      <c r="F2" s="1">
        <v>1.429</v>
      </c>
      <c r="G2" s="1">
        <v>-292.0</v>
      </c>
      <c r="H2" s="7">
        <f t="shared" ref="H2:H16" si="1">ABS(G2*0.007)+1</f>
        <v>3.044</v>
      </c>
      <c r="L2" s="7">
        <f t="shared" ref="L2:L16" si="2">1/AVERAGE(C2:F2)</f>
        <v>0.7015082427</v>
      </c>
    </row>
    <row r="3">
      <c r="A3" s="1">
        <v>43.3</v>
      </c>
      <c r="C3" s="1">
        <v>1.019</v>
      </c>
      <c r="D3" s="1">
        <v>1.017</v>
      </c>
      <c r="E3" s="1">
        <v>1.02</v>
      </c>
      <c r="F3" s="1">
        <v>1.017</v>
      </c>
      <c r="G3" s="1">
        <v>-405.0</v>
      </c>
      <c r="H3" s="7">
        <f t="shared" si="1"/>
        <v>3.835</v>
      </c>
      <c r="L3" s="7">
        <f t="shared" si="2"/>
        <v>0.9820770931</v>
      </c>
    </row>
    <row r="4">
      <c r="A4" s="1">
        <v>43.5</v>
      </c>
      <c r="C4" s="1">
        <v>0.82</v>
      </c>
      <c r="D4" s="1">
        <v>0.819</v>
      </c>
      <c r="E4" s="1">
        <v>0.826</v>
      </c>
      <c r="F4" s="1">
        <v>0.83</v>
      </c>
      <c r="G4" s="1">
        <v>-503.0</v>
      </c>
      <c r="H4" s="7">
        <f t="shared" si="1"/>
        <v>4.521</v>
      </c>
      <c r="L4" s="7">
        <f t="shared" si="2"/>
        <v>1.213960546</v>
      </c>
    </row>
    <row r="5">
      <c r="A5" s="1">
        <v>42.9</v>
      </c>
      <c r="C5" s="1">
        <v>0.626</v>
      </c>
      <c r="D5" s="1">
        <v>0.627</v>
      </c>
      <c r="E5" s="1">
        <v>0.63</v>
      </c>
      <c r="F5" s="1">
        <v>0.627</v>
      </c>
      <c r="G5" s="1">
        <v>-667.0</v>
      </c>
      <c r="H5" s="7">
        <f t="shared" si="1"/>
        <v>5.669</v>
      </c>
      <c r="L5" s="7">
        <f t="shared" si="2"/>
        <v>1.593625498</v>
      </c>
    </row>
    <row r="6">
      <c r="A6" s="1">
        <v>44.0</v>
      </c>
      <c r="C6" s="1">
        <v>0.523</v>
      </c>
      <c r="D6" s="1">
        <v>0.521</v>
      </c>
      <c r="E6" s="1">
        <v>0.52</v>
      </c>
      <c r="F6" s="1">
        <v>0.52</v>
      </c>
      <c r="G6" s="1">
        <v>-809.0</v>
      </c>
      <c r="H6" s="7">
        <f t="shared" si="1"/>
        <v>6.663</v>
      </c>
      <c r="L6" s="7">
        <f t="shared" si="2"/>
        <v>1.919385797</v>
      </c>
    </row>
    <row r="7">
      <c r="A7" s="1">
        <v>44.2</v>
      </c>
      <c r="C7" s="1">
        <v>0.49</v>
      </c>
      <c r="D7" s="1">
        <v>0.485</v>
      </c>
      <c r="E7" s="1">
        <v>0.492</v>
      </c>
      <c r="F7" s="1">
        <v>0.49</v>
      </c>
      <c r="G7" s="1">
        <v>-880.0</v>
      </c>
      <c r="H7" s="7">
        <f t="shared" si="1"/>
        <v>7.16</v>
      </c>
      <c r="L7" s="7">
        <f t="shared" si="2"/>
        <v>2.043944813</v>
      </c>
    </row>
    <row r="8">
      <c r="A8" s="1">
        <v>44.1</v>
      </c>
      <c r="C8" s="1">
        <v>0.443</v>
      </c>
      <c r="D8" s="1">
        <v>0.445</v>
      </c>
      <c r="E8" s="1">
        <v>0.447</v>
      </c>
      <c r="F8" s="1">
        <v>0.446</v>
      </c>
      <c r="G8" s="1">
        <v>-951.0</v>
      </c>
      <c r="H8" s="7">
        <f t="shared" si="1"/>
        <v>7.657</v>
      </c>
      <c r="L8" s="7">
        <f t="shared" si="2"/>
        <v>2.245929253</v>
      </c>
    </row>
    <row r="9">
      <c r="A9" s="1">
        <v>42.9</v>
      </c>
      <c r="C9" s="1">
        <v>0.397</v>
      </c>
      <c r="D9" s="1">
        <v>0.397</v>
      </c>
      <c r="E9" s="1">
        <v>0.399</v>
      </c>
      <c r="F9" s="1">
        <v>0.405</v>
      </c>
      <c r="G9" s="1">
        <v>-1045.0</v>
      </c>
      <c r="H9" s="7">
        <f t="shared" si="1"/>
        <v>8.315</v>
      </c>
      <c r="L9" s="7">
        <f t="shared" si="2"/>
        <v>2.503128911</v>
      </c>
    </row>
    <row r="10">
      <c r="A10" s="1">
        <v>43.2</v>
      </c>
      <c r="C10" s="1">
        <v>0.373</v>
      </c>
      <c r="D10" s="1">
        <v>0.373</v>
      </c>
      <c r="E10" s="1">
        <v>0.371</v>
      </c>
      <c r="F10" s="1">
        <v>0.371</v>
      </c>
      <c r="G10" s="1">
        <v>-1135.0</v>
      </c>
      <c r="H10" s="7">
        <f t="shared" si="1"/>
        <v>8.945</v>
      </c>
      <c r="L10" s="7">
        <f t="shared" si="2"/>
        <v>2.688172043</v>
      </c>
    </row>
    <row r="11">
      <c r="A11" s="1">
        <v>44.6</v>
      </c>
      <c r="C11" s="1">
        <v>0.352</v>
      </c>
      <c r="D11" s="1">
        <v>0.352</v>
      </c>
      <c r="E11" s="1">
        <v>0.351</v>
      </c>
      <c r="F11" s="1">
        <v>0.351</v>
      </c>
      <c r="G11" s="1">
        <v>-1230.0</v>
      </c>
      <c r="H11" s="7">
        <f t="shared" si="1"/>
        <v>9.61</v>
      </c>
      <c r="L11" s="7">
        <f t="shared" si="2"/>
        <v>2.844950213</v>
      </c>
    </row>
    <row r="12">
      <c r="A12" s="1">
        <v>44.5</v>
      </c>
      <c r="C12" s="1">
        <v>0.769</v>
      </c>
      <c r="D12" s="1">
        <v>0.766</v>
      </c>
      <c r="E12" s="1">
        <v>0.772</v>
      </c>
      <c r="F12" s="1">
        <v>0.766</v>
      </c>
      <c r="G12" s="1">
        <v>-560.0</v>
      </c>
      <c r="H12" s="7">
        <f t="shared" si="1"/>
        <v>4.92</v>
      </c>
      <c r="L12" s="7">
        <f t="shared" si="2"/>
        <v>1.301659616</v>
      </c>
    </row>
    <row r="13">
      <c r="A13" s="1">
        <v>44.5</v>
      </c>
      <c r="C13" s="1">
        <v>0.685</v>
      </c>
      <c r="D13" s="1">
        <v>0.684</v>
      </c>
      <c r="E13" s="1">
        <v>0.686</v>
      </c>
      <c r="F13" s="1">
        <v>0.694</v>
      </c>
      <c r="G13" s="1">
        <v>-628.0</v>
      </c>
      <c r="H13" s="7">
        <f t="shared" si="1"/>
        <v>5.396</v>
      </c>
      <c r="L13" s="7">
        <f t="shared" si="2"/>
        <v>1.455074573</v>
      </c>
    </row>
    <row r="14">
      <c r="A14" s="1">
        <v>45.1</v>
      </c>
      <c r="C14" s="1">
        <v>0.674</v>
      </c>
      <c r="D14" s="1">
        <v>0.68</v>
      </c>
      <c r="E14" s="1">
        <v>0.675</v>
      </c>
      <c r="F14" s="1">
        <v>0.676</v>
      </c>
      <c r="G14" s="1">
        <v>-645.0</v>
      </c>
      <c r="H14" s="7">
        <f t="shared" si="1"/>
        <v>5.515</v>
      </c>
      <c r="L14" s="7">
        <f t="shared" si="2"/>
        <v>1.478743068</v>
      </c>
    </row>
    <row r="15">
      <c r="A15" s="1">
        <v>45.1</v>
      </c>
      <c r="C15" s="1">
        <v>0.56</v>
      </c>
      <c r="D15" s="1">
        <v>0.558</v>
      </c>
      <c r="E15" s="1">
        <v>0.559</v>
      </c>
      <c r="F15" s="1">
        <v>0.61</v>
      </c>
      <c r="G15" s="1">
        <v>-725.0</v>
      </c>
      <c r="H15" s="7">
        <f t="shared" si="1"/>
        <v>6.075</v>
      </c>
      <c r="L15" s="7">
        <f t="shared" si="2"/>
        <v>1.749016178</v>
      </c>
    </row>
    <row r="16">
      <c r="A16" s="8">
        <v>46.0</v>
      </c>
      <c r="C16" s="1">
        <v>0.424</v>
      </c>
      <c r="D16" s="1">
        <v>0.428</v>
      </c>
      <c r="E16" s="1">
        <v>0.429</v>
      </c>
      <c r="F16" s="1">
        <v>0.434</v>
      </c>
      <c r="G16" s="1">
        <v>-987.0</v>
      </c>
      <c r="H16" s="7">
        <f t="shared" si="1"/>
        <v>7.909</v>
      </c>
      <c r="L16" s="7">
        <f t="shared" si="2"/>
        <v>2.332361516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11</v>
      </c>
      <c r="L1" s="1" t="s">
        <v>22</v>
      </c>
    </row>
    <row r="2">
      <c r="A2" s="1">
        <v>67.6</v>
      </c>
      <c r="C2" s="1">
        <v>1.53</v>
      </c>
      <c r="D2" s="1">
        <v>1.525</v>
      </c>
      <c r="E2" s="1">
        <v>1.514</v>
      </c>
      <c r="F2" s="1">
        <v>1.519</v>
      </c>
      <c r="G2" s="1">
        <v>-423.0</v>
      </c>
      <c r="H2" s="7">
        <f t="shared" ref="H2:H16" si="1">ABS(G2*0.007)+1</f>
        <v>3.961</v>
      </c>
      <c r="L2" s="7">
        <f t="shared" ref="L2:L16" si="2">1/AVERAGE(C2:F2)</f>
        <v>0.6570302234</v>
      </c>
    </row>
    <row r="3">
      <c r="A3" s="1">
        <v>67.7</v>
      </c>
      <c r="C3" s="1">
        <v>1.042</v>
      </c>
      <c r="D3" s="1">
        <v>1.048</v>
      </c>
      <c r="E3" s="1">
        <v>1.054</v>
      </c>
      <c r="F3" s="1">
        <v>1.053</v>
      </c>
      <c r="G3" s="1">
        <v>-608.0</v>
      </c>
      <c r="H3" s="7">
        <f t="shared" si="1"/>
        <v>5.256</v>
      </c>
      <c r="L3" s="7">
        <f t="shared" si="2"/>
        <v>0.9530617107</v>
      </c>
    </row>
    <row r="4">
      <c r="A4" s="1">
        <v>67.9</v>
      </c>
      <c r="C4" s="1">
        <v>0.804</v>
      </c>
      <c r="D4" s="1">
        <v>0.803</v>
      </c>
      <c r="E4" s="1">
        <v>0.811</v>
      </c>
      <c r="F4" s="1">
        <v>0.794</v>
      </c>
      <c r="G4" s="1">
        <v>-792.0</v>
      </c>
      <c r="H4" s="7">
        <f t="shared" si="1"/>
        <v>6.544</v>
      </c>
      <c r="L4" s="7">
        <f t="shared" si="2"/>
        <v>1.245330012</v>
      </c>
    </row>
    <row r="5">
      <c r="A5" s="1">
        <v>67.9</v>
      </c>
      <c r="C5" s="1">
        <v>0.683</v>
      </c>
      <c r="D5" s="1">
        <v>0.683</v>
      </c>
      <c r="E5" s="1">
        <v>0.683</v>
      </c>
      <c r="F5" s="1">
        <v>0.682</v>
      </c>
      <c r="G5" s="1">
        <v>-938.0</v>
      </c>
      <c r="H5" s="7">
        <f t="shared" si="1"/>
        <v>7.566</v>
      </c>
      <c r="L5" s="7">
        <f t="shared" si="2"/>
        <v>1.464664958</v>
      </c>
    </row>
    <row r="6">
      <c r="A6" s="1">
        <v>68.1</v>
      </c>
      <c r="C6" s="1">
        <v>0.607</v>
      </c>
      <c r="D6" s="1">
        <v>0.608</v>
      </c>
      <c r="E6" s="1">
        <v>0.606</v>
      </c>
      <c r="F6" s="1">
        <v>0.607</v>
      </c>
      <c r="G6" s="1">
        <v>-1060.0</v>
      </c>
      <c r="H6" s="7">
        <f t="shared" si="1"/>
        <v>8.42</v>
      </c>
      <c r="L6" s="7">
        <f t="shared" si="2"/>
        <v>1.647446458</v>
      </c>
    </row>
    <row r="7">
      <c r="A7" s="1">
        <v>68.3</v>
      </c>
      <c r="C7" s="1">
        <v>0.565</v>
      </c>
      <c r="D7" s="1">
        <v>0.571</v>
      </c>
      <c r="E7" s="1">
        <v>0.568</v>
      </c>
      <c r="F7" s="1">
        <v>0.567</v>
      </c>
      <c r="G7" s="1">
        <v>-1130.0</v>
      </c>
      <c r="H7" s="7">
        <f t="shared" si="1"/>
        <v>8.91</v>
      </c>
      <c r="L7" s="7">
        <f t="shared" si="2"/>
        <v>1.761338617</v>
      </c>
    </row>
    <row r="8">
      <c r="A8" s="1">
        <v>68.2</v>
      </c>
      <c r="C8" s="1">
        <v>0.511</v>
      </c>
      <c r="D8" s="1">
        <v>0.512</v>
      </c>
      <c r="E8" s="1">
        <v>0.507</v>
      </c>
      <c r="F8" s="1">
        <v>0.511</v>
      </c>
      <c r="G8" s="1">
        <v>-1270.0</v>
      </c>
      <c r="H8" s="7">
        <f t="shared" si="1"/>
        <v>9.89</v>
      </c>
      <c r="L8" s="7">
        <f t="shared" si="2"/>
        <v>1.959823616</v>
      </c>
    </row>
    <row r="9">
      <c r="A9" s="1">
        <v>68.4</v>
      </c>
      <c r="C9" s="1">
        <v>0.448</v>
      </c>
      <c r="D9" s="1">
        <v>0.45</v>
      </c>
      <c r="E9" s="1">
        <v>0.456</v>
      </c>
      <c r="F9" s="1">
        <v>0.451</v>
      </c>
      <c r="G9" s="1">
        <v>-1420.0</v>
      </c>
      <c r="H9" s="7">
        <f t="shared" si="1"/>
        <v>10.94</v>
      </c>
      <c r="L9" s="7">
        <f t="shared" si="2"/>
        <v>2.216066482</v>
      </c>
    </row>
    <row r="10">
      <c r="A10" s="1">
        <v>68.5</v>
      </c>
      <c r="C10" s="1">
        <v>0.42</v>
      </c>
      <c r="D10" s="1">
        <v>0.422</v>
      </c>
      <c r="E10" s="1">
        <v>0.426</v>
      </c>
      <c r="F10" s="1">
        <v>0.426</v>
      </c>
      <c r="G10" s="1">
        <v>-1517.0</v>
      </c>
      <c r="H10" s="7">
        <f t="shared" si="1"/>
        <v>11.619</v>
      </c>
      <c r="L10" s="7">
        <f t="shared" si="2"/>
        <v>2.361275089</v>
      </c>
    </row>
    <row r="11">
      <c r="A11" s="1">
        <v>68.3</v>
      </c>
      <c r="C11" s="1">
        <v>0.396</v>
      </c>
      <c r="D11" s="1">
        <v>0.397</v>
      </c>
      <c r="E11" s="1">
        <v>0.393</v>
      </c>
      <c r="F11" s="1">
        <v>0.397</v>
      </c>
      <c r="G11" s="1">
        <v>-1635.0</v>
      </c>
      <c r="H11" s="7">
        <f t="shared" si="1"/>
        <v>12.445</v>
      </c>
      <c r="L11" s="7">
        <f t="shared" si="2"/>
        <v>2.526847757</v>
      </c>
    </row>
    <row r="12">
      <c r="A12" s="1">
        <v>68.4</v>
      </c>
      <c r="C12" s="1">
        <v>0.372</v>
      </c>
      <c r="D12" s="1">
        <v>0.373</v>
      </c>
      <c r="E12" s="1">
        <v>0.375</v>
      </c>
      <c r="F12" s="1">
        <v>0.374</v>
      </c>
      <c r="G12" s="1">
        <v>-1725.0</v>
      </c>
      <c r="H12" s="7">
        <f t="shared" si="1"/>
        <v>13.075</v>
      </c>
      <c r="L12" s="7">
        <f t="shared" si="2"/>
        <v>2.677376171</v>
      </c>
    </row>
    <row r="13">
      <c r="A13" s="1">
        <v>68.2</v>
      </c>
      <c r="C13" s="1">
        <v>0.346</v>
      </c>
      <c r="D13" s="1">
        <v>0.344</v>
      </c>
      <c r="E13" s="1">
        <v>0.348</v>
      </c>
      <c r="F13" s="1">
        <v>0.347</v>
      </c>
      <c r="G13" s="1">
        <v>-1861.0</v>
      </c>
      <c r="H13" s="7">
        <f t="shared" si="1"/>
        <v>14.027</v>
      </c>
      <c r="L13" s="7">
        <f t="shared" si="2"/>
        <v>2.888086643</v>
      </c>
    </row>
    <row r="14">
      <c r="A14" s="1">
        <v>68.1</v>
      </c>
      <c r="C14" s="1">
        <v>0.917</v>
      </c>
      <c r="D14" s="1">
        <v>0.917</v>
      </c>
      <c r="E14" s="1">
        <v>0.908</v>
      </c>
      <c r="F14" s="1">
        <v>0.915</v>
      </c>
      <c r="G14" s="1">
        <v>-700.0</v>
      </c>
      <c r="H14" s="7">
        <f t="shared" si="1"/>
        <v>5.9</v>
      </c>
      <c r="L14" s="7">
        <f t="shared" si="2"/>
        <v>1.093792726</v>
      </c>
    </row>
    <row r="15">
      <c r="A15" s="1">
        <v>68.0</v>
      </c>
      <c r="C15" s="1">
        <v>1.215</v>
      </c>
      <c r="D15" s="1">
        <v>1.216</v>
      </c>
      <c r="E15" s="1">
        <v>1.219</v>
      </c>
      <c r="F15" s="1">
        <v>1.217</v>
      </c>
      <c r="G15" s="1">
        <v>-527.0</v>
      </c>
      <c r="H15" s="7">
        <f t="shared" si="1"/>
        <v>4.689</v>
      </c>
      <c r="L15" s="7">
        <f t="shared" si="2"/>
        <v>0.8218615163</v>
      </c>
    </row>
    <row r="16">
      <c r="A16" s="8">
        <v>68.2</v>
      </c>
      <c r="C16" s="1">
        <v>0.485</v>
      </c>
      <c r="D16" s="1">
        <v>0.484</v>
      </c>
      <c r="E16" s="1">
        <v>0.48</v>
      </c>
      <c r="F16" s="1">
        <v>0.485</v>
      </c>
      <c r="G16" s="1">
        <v>-1335.0</v>
      </c>
      <c r="H16" s="7">
        <f t="shared" si="1"/>
        <v>10.345</v>
      </c>
      <c r="L16" s="7">
        <f t="shared" si="2"/>
        <v>2.068252327</v>
      </c>
    </row>
  </sheetData>
  <drawing r:id="rId1"/>
</worksheet>
</file>