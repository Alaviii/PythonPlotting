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ta1" sheetId="2" r:id="rId6"/>
    <sheet state="visible" name="Hoja 2" sheetId="3" r:id="rId7"/>
    <sheet state="visible" name="data2" sheetId="4" r:id="rId8"/>
  </sheets>
  <definedNames/>
  <calcPr/>
</workbook>
</file>

<file path=xl/sharedStrings.xml><?xml version="1.0" encoding="utf-8"?>
<sst xmlns="http://schemas.openxmlformats.org/spreadsheetml/2006/main" count="90" uniqueCount="28">
  <si>
    <t>Bobina 1</t>
  </si>
  <si>
    <t>Bobina 2</t>
  </si>
  <si>
    <t>Nucleo maizo</t>
  </si>
  <si>
    <t>Nucleo Laminado</t>
  </si>
  <si>
    <t>N vueltas</t>
  </si>
  <si>
    <t>I_{max}</t>
  </si>
  <si>
    <t>L</t>
  </si>
  <si>
    <t>err L</t>
  </si>
  <si>
    <t>1A</t>
  </si>
  <si>
    <t>36.3</t>
  </si>
  <si>
    <t>0.2</t>
  </si>
  <si>
    <t>33.8</t>
  </si>
  <si>
    <t>0 magnetización (mT)</t>
  </si>
  <si>
    <t>0.01</t>
  </si>
  <si>
    <t>V (V)</t>
  </si>
  <si>
    <t>err V</t>
  </si>
  <si>
    <t>I (A)</t>
  </si>
  <si>
    <t>err I</t>
  </si>
  <si>
    <t>B</t>
  </si>
  <si>
    <t>err B</t>
  </si>
  <si>
    <t>rango 20 mT</t>
  </si>
  <si>
    <t>rango 200</t>
  </si>
  <si>
    <t>rango 2000</t>
  </si>
  <si>
    <t>V</t>
  </si>
  <si>
    <t>I</t>
  </si>
  <si>
    <t>0 very cool</t>
  </si>
  <si>
    <t>errI</t>
  </si>
  <si>
    <t>errB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</si>
</sst>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00"/>
    <numFmt numFmtId="166" formatCode="0.0000"/>
    <numFmt numFmtId="167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4" xfId="0" applyFont="1" applyNumberFormat="1"/>
    <xf borderId="1" fillId="6" fontId="2" numFmtId="165" xfId="0" applyAlignment="1" applyBorder="1" applyFill="1" applyFont="1" applyNumberFormat="1">
      <alignment readingOrder="0"/>
    </xf>
    <xf borderId="1" fillId="6" fontId="1" numFmtId="165" xfId="0" applyAlignment="1" applyBorder="1" applyFont="1" applyNumberFormat="1">
      <alignment readingOrder="0"/>
    </xf>
    <xf borderId="1" fillId="6" fontId="1" numFmtId="165" xfId="0" applyBorder="1" applyFont="1" applyNumberFormat="1"/>
    <xf borderId="0" fillId="0" fontId="1" numFmtId="0" xfId="0" applyAlignment="1" applyFont="1">
      <alignment readingOrder="0"/>
    </xf>
    <xf borderId="1" fillId="6" fontId="1" numFmtId="0" xfId="0" applyAlignment="1" applyBorder="1" applyFont="1">
      <alignment readingOrder="0"/>
    </xf>
    <xf borderId="1" fillId="7" fontId="1" numFmtId="165" xfId="0" applyAlignment="1" applyBorder="1" applyFill="1" applyFont="1" applyNumberFormat="1">
      <alignment readingOrder="0"/>
    </xf>
    <xf borderId="1" fillId="7" fontId="1" numFmtId="165" xfId="0" applyBorder="1" applyFont="1" applyNumberFormat="1"/>
    <xf borderId="1" fillId="7" fontId="1" numFmtId="0" xfId="0" applyAlignment="1" applyBorder="1" applyFont="1">
      <alignment readingOrder="0"/>
    </xf>
    <xf borderId="1" fillId="6" fontId="1" numFmtId="166" xfId="0" applyAlignment="1" applyBorder="1" applyFont="1" applyNumberFormat="1">
      <alignment readingOrder="0"/>
    </xf>
    <xf borderId="1" fillId="6" fontId="1" numFmtId="166" xfId="0" applyBorder="1" applyFont="1" applyNumberFormat="1"/>
    <xf borderId="1" fillId="7" fontId="1" numFmtId="166" xfId="0" applyAlignment="1" applyBorder="1" applyFont="1" applyNumberFormat="1">
      <alignment readingOrder="0"/>
    </xf>
    <xf borderId="1" fillId="7" fontId="1" numFmtId="166" xfId="0" applyBorder="1" applyFont="1" applyNumberFormat="1"/>
    <xf borderId="1" fillId="8" fontId="1" numFmtId="166" xfId="0" applyAlignment="1" applyBorder="1" applyFill="1" applyFont="1" applyNumberFormat="1">
      <alignment readingOrder="0"/>
    </xf>
    <xf borderId="1" fillId="8" fontId="1" numFmtId="166" xfId="0" applyBorder="1" applyFont="1" applyNumberFormat="1"/>
    <xf borderId="1" fillId="9" fontId="2" numFmtId="0" xfId="0" applyAlignment="1" applyBorder="1" applyFill="1" applyFont="1">
      <alignment readingOrder="0"/>
    </xf>
    <xf borderId="1" fillId="9" fontId="1" numFmtId="0" xfId="0" applyBorder="1" applyFont="1"/>
    <xf borderId="1" fillId="10" fontId="1" numFmtId="166" xfId="0" applyAlignment="1" applyBorder="1" applyFill="1" applyFont="1" applyNumberFormat="1">
      <alignment readingOrder="0"/>
    </xf>
    <xf borderId="1" fillId="10" fontId="1" numFmtId="166" xfId="0" applyBorder="1" applyFont="1" applyNumberFormat="1"/>
    <xf borderId="1" fillId="2" fontId="1" numFmtId="167" xfId="0" applyAlignment="1" applyBorder="1" applyFont="1" applyNumberFormat="1">
      <alignment readingOrder="0"/>
    </xf>
    <xf borderId="1" fillId="2" fontId="2" numFmtId="167" xfId="0" applyAlignment="1" applyBorder="1" applyFont="1" applyNumberFormat="1">
      <alignment readingOrder="0"/>
    </xf>
    <xf borderId="0" fillId="0" fontId="1" numFmtId="167" xfId="0" applyFont="1" applyNumberFormat="1"/>
    <xf borderId="1" fillId="0" fontId="1" numFmtId="167" xfId="0" applyAlignment="1" applyBorder="1" applyFont="1" applyNumberFormat="1">
      <alignment readingOrder="0"/>
    </xf>
    <xf borderId="1" fillId="6" fontId="2" numFmtId="167" xfId="0" applyAlignment="1" applyBorder="1" applyFont="1" applyNumberFormat="1">
      <alignment readingOrder="0"/>
    </xf>
    <xf borderId="1" fillId="6" fontId="1" numFmtId="167" xfId="0" applyAlignment="1" applyBorder="1" applyFont="1" applyNumberFormat="1">
      <alignment readingOrder="0"/>
    </xf>
    <xf borderId="1" fillId="8" fontId="1" numFmtId="167" xfId="0" applyAlignment="1" applyBorder="1" applyFont="1" applyNumberFormat="1">
      <alignment readingOrder="0"/>
    </xf>
    <xf borderId="1" fillId="8" fontId="1" numFmtId="165" xfId="0" applyBorder="1" applyFont="1" applyNumberFormat="1"/>
    <xf borderId="1" fillId="11" fontId="1" numFmtId="167" xfId="0" applyAlignment="1" applyBorder="1" applyFill="1" applyFont="1" applyNumberFormat="1">
      <alignment readingOrder="0"/>
    </xf>
    <xf borderId="1" fillId="11" fontId="1" numFmtId="166" xfId="0" applyBorder="1" applyFont="1" applyNumberFormat="1"/>
    <xf borderId="1" fillId="11" fontId="1" numFmtId="166" xfId="0" applyAlignment="1" applyBorder="1" applyFont="1" applyNumberFormat="1">
      <alignment readingOrder="0"/>
    </xf>
    <xf borderId="1" fillId="11" fontId="1" numFmtId="165" xfId="0" applyBorder="1" applyFont="1" applyNumberFormat="1"/>
    <xf borderId="1" fillId="12" fontId="1" numFmtId="167" xfId="0" applyAlignment="1" applyBorder="1" applyFill="1" applyFont="1" applyNumberFormat="1">
      <alignment readingOrder="0"/>
    </xf>
    <xf borderId="1" fillId="12" fontId="1" numFmtId="166" xfId="0" applyBorder="1" applyFont="1" applyNumberFormat="1"/>
    <xf borderId="1" fillId="12" fontId="1" numFmtId="166" xfId="0" applyAlignment="1" applyBorder="1" applyFont="1" applyNumberFormat="1">
      <alignment readingOrder="0"/>
    </xf>
    <xf borderId="1" fillId="12" fontId="1" numFmtId="165" xfId="0" applyBorder="1" applyFont="1" applyNumberFormat="1"/>
    <xf borderId="0" fillId="0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 (A) y 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1'!$E$8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1'!$C$9:$C$125</c:f>
            </c:numRef>
          </c:xVal>
          <c:yVal>
            <c:numRef>
              <c:f>'Hoja 1'!$E$9:$E$125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267300"/>
        <c:axId val="1241972298"/>
      </c:scatterChart>
      <c:valAx>
        <c:axId val="13402673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972298"/>
      </c:valAx>
      <c:valAx>
        <c:axId val="1241972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267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 frente a I (A)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1'!$E$8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1'!$C$9:$C$125</c:f>
            </c:numRef>
          </c:xVal>
          <c:yVal>
            <c:numRef>
              <c:f>'Hoja 1'!$E$9:$E$125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447618"/>
        <c:axId val="749992856"/>
      </c:scatterChart>
      <c:valAx>
        <c:axId val="1299447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992856"/>
      </c:valAx>
      <c:valAx>
        <c:axId val="749992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447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 (A) y 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2'!$C$8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2'!$A$9:$A$150</c:f>
            </c:numRef>
          </c:xVal>
          <c:yVal>
            <c:numRef>
              <c:f>'Hoja 2'!$C$9:$C$150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611211"/>
        <c:axId val="1945886538"/>
      </c:scatterChart>
      <c:valAx>
        <c:axId val="7786112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886538"/>
      </c:valAx>
      <c:valAx>
        <c:axId val="1945886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611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6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533400</xdr:colOff>
      <xdr:row>35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6</xdr:row>
      <xdr:rowOff>38100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8" max="8" width="14.0"/>
  </cols>
  <sheetData>
    <row r="1">
      <c r="A1" s="1" t="s">
        <v>0</v>
      </c>
      <c r="C1" s="2" t="s">
        <v>1</v>
      </c>
      <c r="F1" s="3" t="s">
        <v>2</v>
      </c>
      <c r="H1" s="4" t="s">
        <v>3</v>
      </c>
    </row>
    <row r="2">
      <c r="A2" s="5" t="s">
        <v>4</v>
      </c>
      <c r="B2" s="5" t="s">
        <v>5</v>
      </c>
      <c r="C2" s="6" t="s">
        <v>4</v>
      </c>
      <c r="D2" s="6" t="s">
        <v>5</v>
      </c>
      <c r="F2" s="3" t="s">
        <v>6</v>
      </c>
      <c r="G2" s="3" t="s">
        <v>7</v>
      </c>
      <c r="H2" s="4" t="s">
        <v>6</v>
      </c>
      <c r="I2" s="4" t="s">
        <v>7</v>
      </c>
    </row>
    <row r="3">
      <c r="A3" s="5">
        <v>1200.0</v>
      </c>
      <c r="B3" s="5" t="s">
        <v>8</v>
      </c>
      <c r="C3" s="5">
        <v>1200.0</v>
      </c>
      <c r="D3" s="5" t="s">
        <v>8</v>
      </c>
      <c r="F3" s="3" t="s">
        <v>9</v>
      </c>
      <c r="G3" s="3" t="s">
        <v>10</v>
      </c>
      <c r="H3" s="4" t="s">
        <v>11</v>
      </c>
      <c r="I3" s="4" t="s">
        <v>10</v>
      </c>
    </row>
    <row r="5">
      <c r="A5" s="7" t="s">
        <v>12</v>
      </c>
    </row>
    <row r="6">
      <c r="A6" s="7" t="s">
        <v>13</v>
      </c>
    </row>
    <row r="7">
      <c r="A7" s="8"/>
      <c r="B7" s="8"/>
      <c r="C7" s="8"/>
    </row>
    <row r="8">
      <c r="A8" s="9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</row>
    <row r="9">
      <c r="A9" s="10">
        <v>0.0</v>
      </c>
      <c r="B9" s="11"/>
      <c r="C9" s="10">
        <v>0.0</v>
      </c>
      <c r="D9" s="11">
        <f t="shared" ref="D9:D125" si="1">(1/100)*ABS(C9)+3*0.001</f>
        <v>0.003</v>
      </c>
      <c r="E9" s="10">
        <v>0.01</v>
      </c>
      <c r="F9" s="11">
        <f t="shared" ref="F9:F12" si="2">0.01/SQRT(12)</f>
        <v>0.002886751346</v>
      </c>
      <c r="G9" s="12" t="s">
        <v>20</v>
      </c>
    </row>
    <row r="10">
      <c r="A10" s="10">
        <v>0.2</v>
      </c>
      <c r="B10" s="11"/>
      <c r="C10" s="10">
        <v>0.008</v>
      </c>
      <c r="D10" s="11">
        <f t="shared" si="1"/>
        <v>0.00308</v>
      </c>
      <c r="E10" s="10">
        <v>4.07</v>
      </c>
      <c r="F10" s="11">
        <f t="shared" si="2"/>
        <v>0.002886751346</v>
      </c>
      <c r="P10" s="9" t="s">
        <v>14</v>
      </c>
      <c r="Q10" s="9" t="s">
        <v>15</v>
      </c>
      <c r="R10" s="9" t="s">
        <v>16</v>
      </c>
      <c r="S10" s="9" t="s">
        <v>17</v>
      </c>
      <c r="T10" s="9" t="s">
        <v>18</v>
      </c>
      <c r="U10" s="9" t="s">
        <v>19</v>
      </c>
    </row>
    <row r="11">
      <c r="A11" s="10">
        <v>0.4</v>
      </c>
      <c r="B11" s="11"/>
      <c r="C11" s="10">
        <v>0.016</v>
      </c>
      <c r="D11" s="11">
        <f t="shared" si="1"/>
        <v>0.00316</v>
      </c>
      <c r="E11" s="13">
        <v>8.46</v>
      </c>
      <c r="F11" s="11">
        <f t="shared" si="2"/>
        <v>0.002886751346</v>
      </c>
      <c r="P11" s="14">
        <v>0.0</v>
      </c>
      <c r="Q11" s="15"/>
      <c r="R11" s="14">
        <v>0.0</v>
      </c>
      <c r="S11" s="15"/>
      <c r="T11" s="14">
        <v>0.01</v>
      </c>
      <c r="U11" s="15">
        <f t="shared" ref="U11:U14" si="3">0.01/SQRT(12)</f>
        <v>0.002886751346</v>
      </c>
    </row>
    <row r="12">
      <c r="A12" s="10">
        <v>0.6</v>
      </c>
      <c r="B12" s="11"/>
      <c r="C12" s="10">
        <v>0.022</v>
      </c>
      <c r="D12" s="11">
        <f t="shared" si="1"/>
        <v>0.00322</v>
      </c>
      <c r="E12" s="10">
        <v>12.6</v>
      </c>
      <c r="F12" s="11">
        <f t="shared" si="2"/>
        <v>0.002886751346</v>
      </c>
      <c r="P12" s="14">
        <v>0.2</v>
      </c>
      <c r="Q12" s="15"/>
      <c r="R12" s="14">
        <v>0.008</v>
      </c>
      <c r="S12" s="15"/>
      <c r="T12" s="14">
        <v>4.07</v>
      </c>
      <c r="U12" s="15">
        <f t="shared" si="3"/>
        <v>0.002886751346</v>
      </c>
    </row>
    <row r="13">
      <c r="A13" s="10">
        <v>1.1</v>
      </c>
      <c r="B13" s="11"/>
      <c r="C13" s="10">
        <v>0.04</v>
      </c>
      <c r="D13" s="11">
        <f t="shared" si="1"/>
        <v>0.0034</v>
      </c>
      <c r="E13" s="10">
        <v>28.5</v>
      </c>
      <c r="F13" s="11">
        <f t="shared" ref="F13:F18" si="4">0.1/SQRT(12)</f>
        <v>0.02886751346</v>
      </c>
      <c r="G13" s="12" t="s">
        <v>21</v>
      </c>
      <c r="P13" s="14">
        <v>0.4</v>
      </c>
      <c r="Q13" s="15"/>
      <c r="R13" s="14">
        <v>0.016</v>
      </c>
      <c r="S13" s="15"/>
      <c r="T13" s="16">
        <v>8.46</v>
      </c>
      <c r="U13" s="15">
        <f t="shared" si="3"/>
        <v>0.002886751346</v>
      </c>
    </row>
    <row r="14">
      <c r="A14" s="10">
        <v>1.5</v>
      </c>
      <c r="B14" s="11"/>
      <c r="C14" s="10">
        <v>0.05</v>
      </c>
      <c r="D14" s="11">
        <f t="shared" si="1"/>
        <v>0.0035</v>
      </c>
      <c r="E14" s="10">
        <v>43.5</v>
      </c>
      <c r="F14" s="11">
        <f t="shared" si="4"/>
        <v>0.02886751346</v>
      </c>
      <c r="P14" s="14">
        <v>0.6</v>
      </c>
      <c r="Q14" s="15"/>
      <c r="R14" s="14">
        <v>0.022</v>
      </c>
      <c r="S14" s="15"/>
      <c r="T14" s="14">
        <v>12.6</v>
      </c>
      <c r="U14" s="15">
        <f t="shared" si="3"/>
        <v>0.002886751346</v>
      </c>
    </row>
    <row r="15">
      <c r="A15" s="10">
        <v>1.8</v>
      </c>
      <c r="B15" s="11"/>
      <c r="C15" s="10">
        <v>0.067</v>
      </c>
      <c r="D15" s="11">
        <f t="shared" si="1"/>
        <v>0.00367</v>
      </c>
      <c r="E15" s="10">
        <v>60.4</v>
      </c>
      <c r="F15" s="11">
        <f t="shared" si="4"/>
        <v>0.02886751346</v>
      </c>
      <c r="P15" s="14">
        <v>1.1</v>
      </c>
      <c r="Q15" s="15"/>
      <c r="R15" s="14">
        <v>0.04</v>
      </c>
      <c r="S15" s="15"/>
      <c r="T15" s="14">
        <v>28.5</v>
      </c>
      <c r="U15" s="15">
        <f t="shared" ref="U15:U21" si="5">0.1/SQRT(12)</f>
        <v>0.02886751346</v>
      </c>
    </row>
    <row r="16">
      <c r="A16" s="17">
        <v>2.6</v>
      </c>
      <c r="B16" s="18"/>
      <c r="C16" s="17">
        <v>0.106</v>
      </c>
      <c r="D16" s="11">
        <f t="shared" si="1"/>
        <v>0.00406</v>
      </c>
      <c r="E16" s="11">
        <v>111.8</v>
      </c>
      <c r="F16" s="18">
        <f t="shared" si="4"/>
        <v>0.02886751346</v>
      </c>
      <c r="P16" s="14">
        <v>1.5</v>
      </c>
      <c r="Q16" s="15"/>
      <c r="R16" s="14">
        <v>0.05</v>
      </c>
      <c r="S16" s="15"/>
      <c r="T16" s="14">
        <v>43.5</v>
      </c>
      <c r="U16" s="15">
        <f t="shared" si="5"/>
        <v>0.02886751346</v>
      </c>
    </row>
    <row r="17">
      <c r="A17" s="17">
        <v>3.1</v>
      </c>
      <c r="B17" s="18"/>
      <c r="C17" s="17">
        <v>0.126</v>
      </c>
      <c r="D17" s="11">
        <f t="shared" si="1"/>
        <v>0.00426</v>
      </c>
      <c r="E17" s="18">
        <v>139.2</v>
      </c>
      <c r="F17" s="18">
        <f t="shared" si="4"/>
        <v>0.02886751346</v>
      </c>
      <c r="P17" s="14">
        <v>1.8</v>
      </c>
      <c r="Q17" s="15"/>
      <c r="R17" s="14">
        <v>0.067</v>
      </c>
      <c r="S17" s="15"/>
      <c r="T17" s="14">
        <v>60.4</v>
      </c>
      <c r="U17" s="15">
        <f t="shared" si="5"/>
        <v>0.02886751346</v>
      </c>
    </row>
    <row r="18">
      <c r="A18" s="17">
        <v>3.7</v>
      </c>
      <c r="B18" s="18"/>
      <c r="C18" s="17">
        <v>0.156</v>
      </c>
      <c r="D18" s="11">
        <f t="shared" si="1"/>
        <v>0.00456</v>
      </c>
      <c r="E18" s="18">
        <v>182.9</v>
      </c>
      <c r="F18" s="18">
        <f t="shared" si="4"/>
        <v>0.02886751346</v>
      </c>
      <c r="P18" s="14">
        <v>2.2</v>
      </c>
      <c r="Q18" s="15"/>
      <c r="R18" s="14">
        <v>0.083</v>
      </c>
      <c r="S18" s="15"/>
      <c r="T18" s="14">
        <v>111.8</v>
      </c>
      <c r="U18" s="15">
        <f t="shared" si="5"/>
        <v>0.02886751346</v>
      </c>
    </row>
    <row r="19">
      <c r="A19" s="17">
        <v>4.7</v>
      </c>
      <c r="B19" s="18"/>
      <c r="C19" s="17">
        <v>0.195</v>
      </c>
      <c r="D19" s="11">
        <f t="shared" si="1"/>
        <v>0.00495</v>
      </c>
      <c r="E19" s="17">
        <v>234.0</v>
      </c>
      <c r="F19" s="18">
        <f t="shared" ref="F19:F54" si="6">1/SQRT(12)</f>
        <v>0.2886751346</v>
      </c>
      <c r="G19" s="12" t="s">
        <v>22</v>
      </c>
      <c r="P19" s="19">
        <v>2.6</v>
      </c>
      <c r="Q19" s="20"/>
      <c r="R19" s="19">
        <v>0.106</v>
      </c>
      <c r="S19" s="20"/>
      <c r="T19" s="19">
        <v>139.2</v>
      </c>
      <c r="U19" s="20">
        <f t="shared" si="5"/>
        <v>0.02886751346</v>
      </c>
    </row>
    <row r="20">
      <c r="A20" s="17">
        <v>6.2</v>
      </c>
      <c r="B20" s="18"/>
      <c r="C20" s="17">
        <v>0.262</v>
      </c>
      <c r="D20" s="11">
        <f t="shared" si="1"/>
        <v>0.00562</v>
      </c>
      <c r="E20" s="17">
        <v>306.0</v>
      </c>
      <c r="F20" s="18">
        <f t="shared" si="6"/>
        <v>0.2886751346</v>
      </c>
      <c r="P20" s="19">
        <v>3.1</v>
      </c>
      <c r="Q20" s="20"/>
      <c r="R20" s="19">
        <v>0.126</v>
      </c>
      <c r="S20" s="20"/>
      <c r="T20" s="19">
        <v>182.9</v>
      </c>
      <c r="U20" s="20">
        <f t="shared" si="5"/>
        <v>0.02886751346</v>
      </c>
    </row>
    <row r="21">
      <c r="A21" s="17">
        <v>7.0</v>
      </c>
      <c r="B21" s="18"/>
      <c r="C21" s="17">
        <v>0.296</v>
      </c>
      <c r="D21" s="11">
        <f t="shared" si="1"/>
        <v>0.00596</v>
      </c>
      <c r="E21" s="17">
        <v>337.0</v>
      </c>
      <c r="F21" s="18">
        <f t="shared" si="6"/>
        <v>0.2886751346</v>
      </c>
      <c r="P21" s="19">
        <v>3.7</v>
      </c>
      <c r="Q21" s="20"/>
      <c r="R21" s="19">
        <v>0.156</v>
      </c>
      <c r="S21" s="20"/>
      <c r="T21" s="19">
        <v>231.0</v>
      </c>
      <c r="U21" s="20">
        <f t="shared" si="5"/>
        <v>0.02886751346</v>
      </c>
    </row>
    <row r="22">
      <c r="A22" s="17">
        <v>8.1</v>
      </c>
      <c r="B22" s="18"/>
      <c r="C22" s="17">
        <v>0.348</v>
      </c>
      <c r="D22" s="11">
        <f t="shared" si="1"/>
        <v>0.00648</v>
      </c>
      <c r="E22" s="17">
        <v>375.0</v>
      </c>
      <c r="F22" s="18">
        <f t="shared" si="6"/>
        <v>0.2886751346</v>
      </c>
      <c r="P22" s="19">
        <v>4.7</v>
      </c>
      <c r="Q22" s="20"/>
      <c r="R22" s="19">
        <v>0.195</v>
      </c>
      <c r="S22" s="20"/>
      <c r="T22" s="19">
        <v>234.0</v>
      </c>
      <c r="U22" s="20">
        <f>1/SQRT(12)</f>
        <v>0.2886751346</v>
      </c>
    </row>
    <row r="23">
      <c r="A23" s="17">
        <v>9.7</v>
      </c>
      <c r="B23" s="18"/>
      <c r="C23" s="17">
        <v>0.413</v>
      </c>
      <c r="D23" s="11">
        <f t="shared" si="1"/>
        <v>0.00713</v>
      </c>
      <c r="E23" s="17">
        <v>421.0</v>
      </c>
      <c r="F23" s="18">
        <f t="shared" si="6"/>
        <v>0.2886751346</v>
      </c>
    </row>
    <row r="24">
      <c r="A24" s="17">
        <v>11.2</v>
      </c>
      <c r="B24" s="18"/>
      <c r="C24" s="17">
        <v>0.48</v>
      </c>
      <c r="D24" s="11">
        <f t="shared" si="1"/>
        <v>0.0078</v>
      </c>
      <c r="E24" s="17">
        <v>463.0</v>
      </c>
      <c r="F24" s="18">
        <f t="shared" si="6"/>
        <v>0.2886751346</v>
      </c>
    </row>
    <row r="25">
      <c r="A25" s="17">
        <v>12.0</v>
      </c>
      <c r="B25" s="18"/>
      <c r="C25" s="17">
        <v>0.522</v>
      </c>
      <c r="D25" s="11">
        <f t="shared" si="1"/>
        <v>0.00822</v>
      </c>
      <c r="E25" s="17">
        <v>484.0</v>
      </c>
      <c r="F25" s="18">
        <f t="shared" si="6"/>
        <v>0.2886751346</v>
      </c>
    </row>
    <row r="26">
      <c r="A26" s="17">
        <v>12.9</v>
      </c>
      <c r="B26" s="18"/>
      <c r="C26" s="17">
        <v>0.561</v>
      </c>
      <c r="D26" s="11">
        <f t="shared" si="1"/>
        <v>0.00861</v>
      </c>
      <c r="E26" s="17">
        <v>504.0</v>
      </c>
      <c r="F26" s="18">
        <f t="shared" si="6"/>
        <v>0.2886751346</v>
      </c>
    </row>
    <row r="27">
      <c r="A27" s="17">
        <v>14.0</v>
      </c>
      <c r="B27" s="18"/>
      <c r="C27" s="17">
        <v>0.608</v>
      </c>
      <c r="D27" s="11">
        <f t="shared" si="1"/>
        <v>0.00908</v>
      </c>
      <c r="E27" s="17">
        <v>527.0</v>
      </c>
      <c r="F27" s="18">
        <f t="shared" si="6"/>
        <v>0.2886751346</v>
      </c>
    </row>
    <row r="28">
      <c r="A28" s="17">
        <v>15.5</v>
      </c>
      <c r="B28" s="18"/>
      <c r="C28" s="17">
        <v>0.673</v>
      </c>
      <c r="D28" s="11">
        <f t="shared" si="1"/>
        <v>0.00973</v>
      </c>
      <c r="E28" s="17">
        <v>556.0</v>
      </c>
      <c r="F28" s="18">
        <f t="shared" si="6"/>
        <v>0.2886751346</v>
      </c>
    </row>
    <row r="29">
      <c r="A29" s="17">
        <v>16.6</v>
      </c>
      <c r="B29" s="18"/>
      <c r="C29" s="17">
        <v>0.719</v>
      </c>
      <c r="D29" s="11">
        <f t="shared" si="1"/>
        <v>0.01019</v>
      </c>
      <c r="E29" s="17">
        <v>575.0</v>
      </c>
      <c r="F29" s="18">
        <f t="shared" si="6"/>
        <v>0.2886751346</v>
      </c>
    </row>
    <row r="30">
      <c r="A30" s="17">
        <v>17.8</v>
      </c>
      <c r="B30" s="18"/>
      <c r="C30" s="17">
        <v>0.773</v>
      </c>
      <c r="D30" s="11">
        <f t="shared" si="1"/>
        <v>0.01073</v>
      </c>
      <c r="E30" s="17">
        <v>596.0</v>
      </c>
      <c r="F30" s="18">
        <f t="shared" si="6"/>
        <v>0.2886751346</v>
      </c>
    </row>
    <row r="31">
      <c r="A31" s="17">
        <v>19.0</v>
      </c>
      <c r="B31" s="18"/>
      <c r="C31" s="17">
        <v>0.824</v>
      </c>
      <c r="D31" s="11">
        <f t="shared" si="1"/>
        <v>0.01124</v>
      </c>
      <c r="E31" s="17">
        <v>615.0</v>
      </c>
      <c r="F31" s="18">
        <f t="shared" si="6"/>
        <v>0.2886751346</v>
      </c>
    </row>
    <row r="32">
      <c r="A32" s="17">
        <v>20.3</v>
      </c>
      <c r="B32" s="18"/>
      <c r="C32" s="17">
        <v>0.88</v>
      </c>
      <c r="D32" s="11">
        <f t="shared" si="1"/>
        <v>0.0118</v>
      </c>
      <c r="E32" s="17">
        <v>633.0</v>
      </c>
      <c r="F32" s="18">
        <f t="shared" si="6"/>
        <v>0.2886751346</v>
      </c>
    </row>
    <row r="33">
      <c r="A33" s="17">
        <v>21.4</v>
      </c>
      <c r="B33" s="18"/>
      <c r="C33" s="17">
        <v>0.923</v>
      </c>
      <c r="D33" s="11">
        <f t="shared" si="1"/>
        <v>0.01223</v>
      </c>
      <c r="E33" s="17">
        <v>648.0</v>
      </c>
      <c r="F33" s="18">
        <f t="shared" si="6"/>
        <v>0.2886751346</v>
      </c>
    </row>
    <row r="34">
      <c r="A34" s="17">
        <v>22.5</v>
      </c>
      <c r="B34" s="18"/>
      <c r="C34" s="17">
        <v>0.97</v>
      </c>
      <c r="D34" s="11">
        <f t="shared" si="1"/>
        <v>0.0127</v>
      </c>
      <c r="E34" s="17">
        <v>664.0</v>
      </c>
      <c r="F34" s="18">
        <f t="shared" si="6"/>
        <v>0.2886751346</v>
      </c>
    </row>
    <row r="35">
      <c r="A35" s="21">
        <v>23.2</v>
      </c>
      <c r="B35" s="22"/>
      <c r="C35" s="21">
        <v>0.994</v>
      </c>
      <c r="D35" s="11">
        <f t="shared" si="1"/>
        <v>0.01294</v>
      </c>
      <c r="E35" s="21">
        <v>672.0</v>
      </c>
      <c r="F35" s="22">
        <f t="shared" si="6"/>
        <v>0.2886751346</v>
      </c>
      <c r="I35" s="23" t="s">
        <v>23</v>
      </c>
      <c r="J35" s="23" t="s">
        <v>15</v>
      </c>
      <c r="K35" s="23" t="s">
        <v>24</v>
      </c>
      <c r="L35" s="23" t="s">
        <v>17</v>
      </c>
      <c r="M35" s="23" t="s">
        <v>18</v>
      </c>
      <c r="N35" s="23" t="s">
        <v>19</v>
      </c>
    </row>
    <row r="36">
      <c r="A36" s="17">
        <v>22.4</v>
      </c>
      <c r="B36" s="18"/>
      <c r="C36" s="17">
        <v>0.937</v>
      </c>
      <c r="D36" s="11">
        <f t="shared" si="1"/>
        <v>0.01237</v>
      </c>
      <c r="E36" s="17">
        <v>661.0</v>
      </c>
      <c r="F36" s="18">
        <f t="shared" si="6"/>
        <v>0.2886751346</v>
      </c>
      <c r="I36" s="24"/>
      <c r="J36" s="24"/>
      <c r="K36" s="24"/>
      <c r="L36" s="24"/>
      <c r="M36" s="24"/>
      <c r="N36" s="24"/>
    </row>
    <row r="37">
      <c r="A37" s="17">
        <v>21.1</v>
      </c>
      <c r="B37" s="18"/>
      <c r="C37" s="17">
        <v>0.881</v>
      </c>
      <c r="D37" s="11">
        <f t="shared" si="1"/>
        <v>0.01181</v>
      </c>
      <c r="E37" s="17">
        <v>650.0</v>
      </c>
      <c r="F37" s="18">
        <f t="shared" si="6"/>
        <v>0.2886751346</v>
      </c>
      <c r="I37" s="24"/>
      <c r="J37" s="24"/>
      <c r="K37" s="24"/>
      <c r="L37" s="24"/>
      <c r="M37" s="24"/>
      <c r="N37" s="24"/>
    </row>
    <row r="38">
      <c r="A38" s="17">
        <v>19.9</v>
      </c>
      <c r="B38" s="18"/>
      <c r="C38" s="17">
        <v>0.83</v>
      </c>
      <c r="D38" s="11">
        <f t="shared" si="1"/>
        <v>0.0113</v>
      </c>
      <c r="E38" s="17">
        <v>639.0</v>
      </c>
      <c r="F38" s="18">
        <f t="shared" si="6"/>
        <v>0.2886751346</v>
      </c>
      <c r="I38" s="24"/>
      <c r="J38" s="24"/>
      <c r="K38" s="24"/>
      <c r="L38" s="24"/>
      <c r="M38" s="24"/>
      <c r="N38" s="24"/>
    </row>
    <row r="39">
      <c r="A39" s="17">
        <v>18.6</v>
      </c>
      <c r="B39" s="18"/>
      <c r="C39" s="17">
        <v>0.774</v>
      </c>
      <c r="D39" s="11">
        <f t="shared" si="1"/>
        <v>0.01074</v>
      </c>
      <c r="E39" s="17">
        <v>626.0</v>
      </c>
      <c r="F39" s="18">
        <f t="shared" si="6"/>
        <v>0.2886751346</v>
      </c>
      <c r="I39" s="24"/>
      <c r="J39" s="24"/>
      <c r="K39" s="24"/>
      <c r="L39" s="24"/>
      <c r="M39" s="24"/>
      <c r="N39" s="24"/>
    </row>
    <row r="40">
      <c r="A40" s="17">
        <v>17.4</v>
      </c>
      <c r="B40" s="18"/>
      <c r="C40" s="17">
        <v>0.72</v>
      </c>
      <c r="D40" s="11">
        <f t="shared" si="1"/>
        <v>0.0102</v>
      </c>
      <c r="E40" s="17">
        <v>611.0</v>
      </c>
      <c r="F40" s="18">
        <f t="shared" si="6"/>
        <v>0.2886751346</v>
      </c>
      <c r="I40" s="24"/>
      <c r="J40" s="24"/>
      <c r="K40" s="24"/>
      <c r="L40" s="24"/>
      <c r="M40" s="24"/>
      <c r="N40" s="24"/>
    </row>
    <row r="41">
      <c r="A41" s="17">
        <v>15.9</v>
      </c>
      <c r="B41" s="18"/>
      <c r="C41" s="17">
        <v>0.658</v>
      </c>
      <c r="D41" s="11">
        <f t="shared" si="1"/>
        <v>0.00958</v>
      </c>
      <c r="E41" s="17">
        <v>594.0</v>
      </c>
      <c r="F41" s="18">
        <f t="shared" si="6"/>
        <v>0.2886751346</v>
      </c>
      <c r="I41" s="24"/>
      <c r="J41" s="24"/>
      <c r="K41" s="24"/>
      <c r="L41" s="24"/>
      <c r="M41" s="24"/>
      <c r="N41" s="24"/>
    </row>
    <row r="42">
      <c r="A42" s="17">
        <v>14.7</v>
      </c>
      <c r="B42" s="18"/>
      <c r="C42" s="17">
        <v>0.602</v>
      </c>
      <c r="D42" s="11">
        <f t="shared" si="1"/>
        <v>0.00902</v>
      </c>
      <c r="E42" s="17">
        <v>577.0</v>
      </c>
      <c r="F42" s="18">
        <f t="shared" si="6"/>
        <v>0.2886751346</v>
      </c>
      <c r="I42" s="24"/>
      <c r="J42" s="24"/>
      <c r="K42" s="24"/>
      <c r="L42" s="24"/>
      <c r="M42" s="24"/>
      <c r="N42" s="24"/>
    </row>
    <row r="43">
      <c r="A43" s="17">
        <v>13.4</v>
      </c>
      <c r="B43" s="18"/>
      <c r="C43" s="17">
        <v>0.55</v>
      </c>
      <c r="D43" s="11">
        <f t="shared" si="1"/>
        <v>0.0085</v>
      </c>
      <c r="E43" s="17">
        <v>559.0</v>
      </c>
      <c r="F43" s="18">
        <f t="shared" si="6"/>
        <v>0.2886751346</v>
      </c>
      <c r="I43" s="24"/>
      <c r="J43" s="24"/>
      <c r="K43" s="24"/>
      <c r="L43" s="24"/>
      <c r="M43" s="24"/>
      <c r="N43" s="24"/>
    </row>
    <row r="44">
      <c r="A44" s="17">
        <v>12.0</v>
      </c>
      <c r="B44" s="18"/>
      <c r="C44" s="17">
        <v>0.494</v>
      </c>
      <c r="D44" s="11">
        <f t="shared" si="1"/>
        <v>0.00794</v>
      </c>
      <c r="E44" s="17">
        <v>538.0</v>
      </c>
      <c r="F44" s="18">
        <f t="shared" si="6"/>
        <v>0.2886751346</v>
      </c>
      <c r="I44" s="24"/>
      <c r="J44" s="24"/>
      <c r="K44" s="24"/>
      <c r="L44" s="24"/>
      <c r="M44" s="24"/>
      <c r="N44" s="24"/>
    </row>
    <row r="45">
      <c r="A45" s="17">
        <v>10.8</v>
      </c>
      <c r="B45" s="18"/>
      <c r="C45" s="17">
        <v>0.446</v>
      </c>
      <c r="D45" s="11">
        <f t="shared" si="1"/>
        <v>0.00746</v>
      </c>
      <c r="E45" s="17">
        <v>519.0</v>
      </c>
      <c r="F45" s="18">
        <f t="shared" si="6"/>
        <v>0.2886751346</v>
      </c>
      <c r="I45" s="24"/>
      <c r="J45" s="24"/>
      <c r="K45" s="24"/>
      <c r="L45" s="24"/>
      <c r="M45" s="24"/>
      <c r="N45" s="24"/>
    </row>
    <row r="46">
      <c r="A46" s="17">
        <v>9.5</v>
      </c>
      <c r="B46" s="18"/>
      <c r="C46" s="17">
        <v>0.39</v>
      </c>
      <c r="D46" s="11">
        <f t="shared" si="1"/>
        <v>0.0069</v>
      </c>
      <c r="E46" s="17">
        <v>494.0</v>
      </c>
      <c r="F46" s="18">
        <f t="shared" si="6"/>
        <v>0.2886751346</v>
      </c>
      <c r="I46" s="24"/>
      <c r="J46" s="24"/>
      <c r="K46" s="24"/>
      <c r="L46" s="24"/>
      <c r="M46" s="24"/>
      <c r="N46" s="24"/>
    </row>
    <row r="47">
      <c r="A47" s="17">
        <v>8.3</v>
      </c>
      <c r="B47" s="18"/>
      <c r="C47" s="17">
        <v>0.34</v>
      </c>
      <c r="D47" s="11">
        <f t="shared" si="1"/>
        <v>0.0064</v>
      </c>
      <c r="E47" s="17">
        <v>468.0</v>
      </c>
      <c r="F47" s="18">
        <f t="shared" si="6"/>
        <v>0.2886751346</v>
      </c>
      <c r="I47" s="24"/>
      <c r="J47" s="24"/>
      <c r="K47" s="24"/>
      <c r="L47" s="24"/>
      <c r="M47" s="24"/>
      <c r="N47" s="24"/>
    </row>
    <row r="48">
      <c r="A48" s="17">
        <v>7.0</v>
      </c>
      <c r="B48" s="18"/>
      <c r="C48" s="17">
        <v>0.288</v>
      </c>
      <c r="D48" s="11">
        <f t="shared" si="1"/>
        <v>0.00588</v>
      </c>
      <c r="E48" s="17">
        <v>437.0</v>
      </c>
      <c r="F48" s="18">
        <f t="shared" si="6"/>
        <v>0.2886751346</v>
      </c>
      <c r="I48" s="24"/>
      <c r="J48" s="24"/>
      <c r="K48" s="24"/>
      <c r="L48" s="24"/>
      <c r="M48" s="24"/>
      <c r="N48" s="24"/>
    </row>
    <row r="49">
      <c r="A49" s="17">
        <v>5.9</v>
      </c>
      <c r="B49" s="18"/>
      <c r="C49" s="17">
        <v>0.242</v>
      </c>
      <c r="D49" s="11">
        <f t="shared" si="1"/>
        <v>0.00542</v>
      </c>
      <c r="E49" s="17">
        <v>407.0</v>
      </c>
      <c r="F49" s="18">
        <f t="shared" si="6"/>
        <v>0.2886751346</v>
      </c>
      <c r="I49" s="24"/>
      <c r="J49" s="24"/>
      <c r="K49" s="24"/>
      <c r="L49" s="24"/>
      <c r="M49" s="24"/>
      <c r="N49" s="24"/>
    </row>
    <row r="50">
      <c r="A50" s="17">
        <v>5.0</v>
      </c>
      <c r="B50" s="18"/>
      <c r="C50" s="17">
        <v>0.207</v>
      </c>
      <c r="D50" s="11">
        <f t="shared" si="1"/>
        <v>0.00507</v>
      </c>
      <c r="E50" s="17">
        <v>380.0</v>
      </c>
      <c r="F50" s="18">
        <f t="shared" si="6"/>
        <v>0.2886751346</v>
      </c>
      <c r="I50" s="24"/>
      <c r="J50" s="24"/>
      <c r="K50" s="24"/>
      <c r="L50" s="24"/>
      <c r="M50" s="24"/>
      <c r="N50" s="24"/>
    </row>
    <row r="51">
      <c r="A51" s="17">
        <v>3.5</v>
      </c>
      <c r="B51" s="18"/>
      <c r="C51" s="17">
        <v>0.146</v>
      </c>
      <c r="D51" s="11">
        <f t="shared" si="1"/>
        <v>0.00446</v>
      </c>
      <c r="E51" s="17">
        <v>330.0</v>
      </c>
      <c r="F51" s="18">
        <f t="shared" si="6"/>
        <v>0.2886751346</v>
      </c>
      <c r="I51" s="24"/>
      <c r="J51" s="24"/>
      <c r="K51" s="24"/>
      <c r="L51" s="24"/>
      <c r="M51" s="24"/>
      <c r="N51" s="24"/>
    </row>
    <row r="52">
      <c r="A52" s="17">
        <v>2.5</v>
      </c>
      <c r="B52" s="18"/>
      <c r="C52" s="17">
        <v>0.103</v>
      </c>
      <c r="D52" s="11">
        <f t="shared" si="1"/>
        <v>0.00403</v>
      </c>
      <c r="E52" s="17">
        <v>288.0</v>
      </c>
      <c r="F52" s="18">
        <f t="shared" si="6"/>
        <v>0.2886751346</v>
      </c>
      <c r="I52" s="24"/>
      <c r="J52" s="24"/>
      <c r="K52" s="24"/>
      <c r="L52" s="24"/>
      <c r="M52" s="24"/>
      <c r="N52" s="24"/>
    </row>
    <row r="53">
      <c r="A53" s="17">
        <v>1.1</v>
      </c>
      <c r="B53" s="18"/>
      <c r="C53" s="17">
        <v>0.044</v>
      </c>
      <c r="D53" s="11">
        <f t="shared" si="1"/>
        <v>0.00344</v>
      </c>
      <c r="E53" s="17">
        <v>213.0</v>
      </c>
      <c r="F53" s="18">
        <f t="shared" si="6"/>
        <v>0.2886751346</v>
      </c>
      <c r="I53" s="24"/>
      <c r="J53" s="24"/>
      <c r="K53" s="24"/>
      <c r="L53" s="24"/>
      <c r="M53" s="24"/>
      <c r="N53" s="24"/>
    </row>
    <row r="54">
      <c r="A54" s="17">
        <v>0.5</v>
      </c>
      <c r="B54" s="18"/>
      <c r="C54" s="17">
        <v>0.02</v>
      </c>
      <c r="D54" s="11">
        <f t="shared" si="1"/>
        <v>0.0032</v>
      </c>
      <c r="E54" s="17">
        <v>177.0</v>
      </c>
      <c r="F54" s="18">
        <f t="shared" si="6"/>
        <v>0.2886751346</v>
      </c>
      <c r="I54" s="24"/>
      <c r="J54" s="24"/>
      <c r="K54" s="24"/>
      <c r="L54" s="24"/>
      <c r="M54" s="24"/>
      <c r="N54" s="24"/>
    </row>
    <row r="55">
      <c r="A55" s="25">
        <v>0.0</v>
      </c>
      <c r="B55" s="26"/>
      <c r="C55" s="25">
        <v>0.0</v>
      </c>
      <c r="D55" s="11">
        <f t="shared" si="1"/>
        <v>0.003</v>
      </c>
      <c r="E55" s="25">
        <v>145.9</v>
      </c>
      <c r="F55" s="26">
        <f t="shared" ref="F55:F60" si="7">0.1/SQRT(12)</f>
        <v>0.02886751346</v>
      </c>
      <c r="G55" s="12" t="s">
        <v>25</v>
      </c>
    </row>
    <row r="56">
      <c r="A56" s="17">
        <v>0.1</v>
      </c>
      <c r="B56" s="18"/>
      <c r="C56" s="17">
        <v>-0.006</v>
      </c>
      <c r="D56" s="11">
        <f t="shared" si="1"/>
        <v>0.00306</v>
      </c>
      <c r="E56" s="17">
        <v>136.8</v>
      </c>
      <c r="F56" s="18">
        <f t="shared" si="7"/>
        <v>0.02886751346</v>
      </c>
    </row>
    <row r="57">
      <c r="A57" s="17">
        <v>0.2</v>
      </c>
      <c r="B57" s="18"/>
      <c r="C57" s="17">
        <v>-0.01</v>
      </c>
      <c r="D57" s="11">
        <f t="shared" si="1"/>
        <v>0.0031</v>
      </c>
      <c r="E57" s="17">
        <v>128.2</v>
      </c>
      <c r="F57" s="18">
        <f t="shared" si="7"/>
        <v>0.02886751346</v>
      </c>
    </row>
    <row r="58">
      <c r="A58" s="17">
        <v>0.7</v>
      </c>
      <c r="B58" s="18"/>
      <c r="C58" s="17">
        <v>-0.03</v>
      </c>
      <c r="D58" s="11">
        <f t="shared" si="1"/>
        <v>0.0033</v>
      </c>
      <c r="E58" s="17">
        <v>97.2</v>
      </c>
      <c r="F58" s="18">
        <f t="shared" si="7"/>
        <v>0.02886751346</v>
      </c>
    </row>
    <row r="59">
      <c r="A59" s="17">
        <v>1.0</v>
      </c>
      <c r="B59" s="18"/>
      <c r="C59" s="17">
        <v>-0.044</v>
      </c>
      <c r="D59" s="11">
        <f t="shared" si="1"/>
        <v>0.00344</v>
      </c>
      <c r="E59" s="17">
        <v>77.0</v>
      </c>
      <c r="F59" s="18">
        <f t="shared" si="7"/>
        <v>0.02886751346</v>
      </c>
    </row>
    <row r="60">
      <c r="A60" s="17">
        <v>1.4</v>
      </c>
      <c r="B60" s="18"/>
      <c r="C60" s="17">
        <v>-0.066</v>
      </c>
      <c r="D60" s="11">
        <f t="shared" si="1"/>
        <v>0.00366</v>
      </c>
      <c r="E60" s="17">
        <v>41.2</v>
      </c>
      <c r="F60" s="18">
        <f t="shared" si="7"/>
        <v>0.02886751346</v>
      </c>
    </row>
    <row r="61">
      <c r="A61" s="17">
        <v>2.0</v>
      </c>
      <c r="B61" s="18"/>
      <c r="C61" s="17">
        <v>-0.083</v>
      </c>
      <c r="D61" s="11">
        <f t="shared" si="1"/>
        <v>0.00383</v>
      </c>
      <c r="E61" s="17">
        <v>15.65</v>
      </c>
      <c r="F61" s="18">
        <f t="shared" ref="F61:F63" si="8">0.01/SQRT(12)</f>
        <v>0.002886751346</v>
      </c>
    </row>
    <row r="62">
      <c r="A62" s="17">
        <v>2.2</v>
      </c>
      <c r="B62" s="18"/>
      <c r="C62" s="17">
        <v>-0.093</v>
      </c>
      <c r="D62" s="11">
        <f t="shared" si="1"/>
        <v>0.00393</v>
      </c>
      <c r="E62" s="17">
        <v>-0.4</v>
      </c>
      <c r="F62" s="18">
        <f t="shared" si="8"/>
        <v>0.002886751346</v>
      </c>
    </row>
    <row r="63">
      <c r="A63" s="17">
        <v>2.5</v>
      </c>
      <c r="B63" s="18"/>
      <c r="C63" s="17">
        <v>-0.104</v>
      </c>
      <c r="D63" s="11">
        <f t="shared" si="1"/>
        <v>0.00404</v>
      </c>
      <c r="E63" s="17">
        <v>-16.57</v>
      </c>
      <c r="F63" s="18">
        <f t="shared" si="8"/>
        <v>0.002886751346</v>
      </c>
    </row>
    <row r="64">
      <c r="A64" s="17">
        <v>3.2</v>
      </c>
      <c r="B64" s="18"/>
      <c r="C64" s="17">
        <v>-0.135</v>
      </c>
      <c r="D64" s="11">
        <f t="shared" si="1"/>
        <v>0.00435</v>
      </c>
      <c r="E64" s="17">
        <v>-61.7</v>
      </c>
      <c r="F64" s="18">
        <f t="shared" ref="F64:F65" si="9">0.1/SQRT(12)</f>
        <v>0.02886751346</v>
      </c>
    </row>
    <row r="65">
      <c r="A65" s="17">
        <v>4.3</v>
      </c>
      <c r="B65" s="18"/>
      <c r="C65" s="17">
        <v>-0.181</v>
      </c>
      <c r="D65" s="11">
        <f t="shared" si="1"/>
        <v>0.00481</v>
      </c>
      <c r="E65" s="17">
        <v>-126.8</v>
      </c>
      <c r="F65" s="18">
        <f t="shared" si="9"/>
        <v>0.02886751346</v>
      </c>
    </row>
    <row r="66">
      <c r="A66" s="17">
        <v>5.8</v>
      </c>
      <c r="B66" s="18"/>
      <c r="C66" s="17">
        <v>-0.243</v>
      </c>
      <c r="D66" s="11">
        <f t="shared" si="1"/>
        <v>0.00543</v>
      </c>
      <c r="E66" s="17">
        <v>-208.0</v>
      </c>
      <c r="F66" s="18">
        <f t="shared" ref="F66:F103" si="10">1/SQRT(12)</f>
        <v>0.2886751346</v>
      </c>
    </row>
    <row r="67">
      <c r="A67" s="17">
        <v>6.5</v>
      </c>
      <c r="B67" s="18"/>
      <c r="C67" s="17">
        <v>-0.278</v>
      </c>
      <c r="D67" s="11">
        <f t="shared" si="1"/>
        <v>0.00578</v>
      </c>
      <c r="E67" s="17">
        <v>-250.0</v>
      </c>
      <c r="F67" s="18">
        <f t="shared" si="10"/>
        <v>0.2886751346</v>
      </c>
    </row>
    <row r="68">
      <c r="A68" s="17">
        <v>7.5</v>
      </c>
      <c r="B68" s="18"/>
      <c r="C68" s="17">
        <v>-0.322</v>
      </c>
      <c r="D68" s="11">
        <f t="shared" si="1"/>
        <v>0.00622</v>
      </c>
      <c r="E68" s="17">
        <v>-298.0</v>
      </c>
      <c r="F68" s="18">
        <f t="shared" si="10"/>
        <v>0.2886751346</v>
      </c>
    </row>
    <row r="69">
      <c r="A69" s="17">
        <v>8.6</v>
      </c>
      <c r="B69" s="18"/>
      <c r="C69" s="17">
        <v>-0.369</v>
      </c>
      <c r="D69" s="11">
        <f t="shared" si="1"/>
        <v>0.00669</v>
      </c>
      <c r="E69" s="17">
        <v>-348.0</v>
      </c>
      <c r="F69" s="18">
        <f t="shared" si="10"/>
        <v>0.2886751346</v>
      </c>
    </row>
    <row r="70">
      <c r="A70" s="17">
        <v>9.5</v>
      </c>
      <c r="B70" s="18"/>
      <c r="C70" s="17">
        <v>-0.408</v>
      </c>
      <c r="D70" s="11">
        <f t="shared" si="1"/>
        <v>0.00708</v>
      </c>
      <c r="E70" s="17">
        <v>-382.0</v>
      </c>
      <c r="F70" s="18">
        <f t="shared" si="10"/>
        <v>0.2886751346</v>
      </c>
    </row>
    <row r="71">
      <c r="A71" s="17">
        <v>10.9</v>
      </c>
      <c r="B71" s="18"/>
      <c r="C71" s="17">
        <v>-0.466</v>
      </c>
      <c r="D71" s="11">
        <f t="shared" si="1"/>
        <v>0.00766</v>
      </c>
      <c r="E71" s="17">
        <v>-427.0</v>
      </c>
      <c r="F71" s="18">
        <f t="shared" si="10"/>
        <v>0.2886751346</v>
      </c>
    </row>
    <row r="72">
      <c r="A72" s="17">
        <v>12.1</v>
      </c>
      <c r="B72" s="18"/>
      <c r="C72" s="17">
        <v>-0.517</v>
      </c>
      <c r="D72" s="11">
        <f t="shared" si="1"/>
        <v>0.00817</v>
      </c>
      <c r="E72" s="17">
        <v>-463.0</v>
      </c>
      <c r="F72" s="18">
        <f t="shared" si="10"/>
        <v>0.2886751346</v>
      </c>
    </row>
    <row r="73">
      <c r="A73" s="17">
        <v>13.1</v>
      </c>
      <c r="B73" s="18"/>
      <c r="C73" s="17">
        <v>-0.562</v>
      </c>
      <c r="D73" s="11">
        <f t="shared" si="1"/>
        <v>0.00862</v>
      </c>
      <c r="E73" s="17">
        <v>-489.0</v>
      </c>
      <c r="F73" s="18">
        <f t="shared" si="10"/>
        <v>0.2886751346</v>
      </c>
    </row>
    <row r="74">
      <c r="A74" s="17">
        <v>14.2</v>
      </c>
      <c r="B74" s="18"/>
      <c r="C74" s="17">
        <v>-0.609</v>
      </c>
      <c r="D74" s="11">
        <f t="shared" si="1"/>
        <v>0.00909</v>
      </c>
      <c r="E74" s="17">
        <v>-516.0</v>
      </c>
      <c r="F74" s="18">
        <f t="shared" si="10"/>
        <v>0.2886751346</v>
      </c>
    </row>
    <row r="75">
      <c r="A75" s="17">
        <v>15.3</v>
      </c>
      <c r="B75" s="18"/>
      <c r="C75" s="17">
        <v>-0.654</v>
      </c>
      <c r="D75" s="11">
        <f t="shared" si="1"/>
        <v>0.00954</v>
      </c>
      <c r="E75" s="17">
        <v>-539.0</v>
      </c>
      <c r="F75" s="18">
        <f t="shared" si="10"/>
        <v>0.2886751346</v>
      </c>
    </row>
    <row r="76">
      <c r="A76" s="17">
        <v>16.5</v>
      </c>
      <c r="B76" s="18"/>
      <c r="C76" s="17">
        <v>-0.707</v>
      </c>
      <c r="D76" s="11">
        <f t="shared" si="1"/>
        <v>0.01007</v>
      </c>
      <c r="E76" s="17">
        <v>-563.0</v>
      </c>
      <c r="F76" s="18">
        <f t="shared" si="10"/>
        <v>0.2886751346</v>
      </c>
    </row>
    <row r="77">
      <c r="A77" s="17">
        <v>17.5</v>
      </c>
      <c r="B77" s="18"/>
      <c r="C77" s="17">
        <v>-0.749</v>
      </c>
      <c r="D77" s="11">
        <f t="shared" si="1"/>
        <v>0.01049</v>
      </c>
      <c r="E77" s="17">
        <v>-581.0</v>
      </c>
      <c r="F77" s="18">
        <f t="shared" si="10"/>
        <v>0.2886751346</v>
      </c>
    </row>
    <row r="78">
      <c r="A78" s="17">
        <v>18.7</v>
      </c>
      <c r="B78" s="18"/>
      <c r="C78" s="17">
        <v>-0.798</v>
      </c>
      <c r="D78" s="11">
        <f t="shared" si="1"/>
        <v>0.01098</v>
      </c>
      <c r="E78" s="17">
        <v>-601.0</v>
      </c>
      <c r="F78" s="18">
        <f t="shared" si="10"/>
        <v>0.2886751346</v>
      </c>
    </row>
    <row r="79">
      <c r="A79" s="17">
        <v>20.1</v>
      </c>
      <c r="B79" s="18"/>
      <c r="C79" s="17">
        <v>-0.855</v>
      </c>
      <c r="D79" s="11">
        <f t="shared" si="1"/>
        <v>0.01155</v>
      </c>
      <c r="E79" s="17">
        <v>-622.0</v>
      </c>
      <c r="F79" s="18">
        <f t="shared" si="10"/>
        <v>0.2886751346</v>
      </c>
    </row>
    <row r="80">
      <c r="A80" s="17">
        <v>21.2</v>
      </c>
      <c r="B80" s="18"/>
      <c r="C80" s="17">
        <v>-0.903</v>
      </c>
      <c r="D80" s="11">
        <f t="shared" si="1"/>
        <v>0.01203</v>
      </c>
      <c r="E80" s="17">
        <v>-639.0</v>
      </c>
      <c r="F80" s="18">
        <f t="shared" si="10"/>
        <v>0.2886751346</v>
      </c>
    </row>
    <row r="81">
      <c r="A81" s="17">
        <v>22.2</v>
      </c>
      <c r="B81" s="18"/>
      <c r="C81" s="17">
        <v>-0.942</v>
      </c>
      <c r="D81" s="11">
        <f t="shared" si="1"/>
        <v>0.01242</v>
      </c>
      <c r="E81" s="17">
        <v>-652.0</v>
      </c>
      <c r="F81" s="18">
        <f t="shared" si="10"/>
        <v>0.2886751346</v>
      </c>
    </row>
    <row r="82">
      <c r="A82" s="17">
        <v>23.2</v>
      </c>
      <c r="B82" s="18"/>
      <c r="C82" s="17">
        <v>-0.982</v>
      </c>
      <c r="D82" s="11">
        <f t="shared" si="1"/>
        <v>0.01282</v>
      </c>
      <c r="E82" s="17">
        <v>-664.0</v>
      </c>
      <c r="F82" s="18">
        <f t="shared" si="10"/>
        <v>0.2886751346</v>
      </c>
    </row>
    <row r="83">
      <c r="A83" s="21">
        <v>23.6</v>
      </c>
      <c r="B83" s="22"/>
      <c r="C83" s="21">
        <v>-0.999</v>
      </c>
      <c r="D83" s="11">
        <f t="shared" si="1"/>
        <v>0.01299</v>
      </c>
      <c r="E83" s="21">
        <v>-669.0</v>
      </c>
      <c r="F83" s="22">
        <f t="shared" si="10"/>
        <v>0.2886751346</v>
      </c>
    </row>
    <row r="84">
      <c r="A84" s="17">
        <v>22.5</v>
      </c>
      <c r="B84" s="18"/>
      <c r="C84" s="17">
        <v>-0.943</v>
      </c>
      <c r="D84" s="11">
        <f t="shared" si="1"/>
        <v>0.01243</v>
      </c>
      <c r="E84" s="17">
        <v>-659.0</v>
      </c>
      <c r="F84" s="18">
        <f t="shared" si="10"/>
        <v>0.2886751346</v>
      </c>
    </row>
    <row r="85">
      <c r="A85" s="17">
        <v>21.3</v>
      </c>
      <c r="B85" s="18"/>
      <c r="C85" s="17">
        <v>-0.891</v>
      </c>
      <c r="D85" s="11">
        <f t="shared" si="1"/>
        <v>0.01191</v>
      </c>
      <c r="E85" s="17">
        <v>-649.0</v>
      </c>
      <c r="F85" s="18">
        <f t="shared" si="10"/>
        <v>0.2886751346</v>
      </c>
    </row>
    <row r="86">
      <c r="A86" s="17">
        <v>20.2</v>
      </c>
      <c r="B86" s="18"/>
      <c r="C86" s="17">
        <v>-0.843</v>
      </c>
      <c r="D86" s="11">
        <f t="shared" si="1"/>
        <v>0.01143</v>
      </c>
      <c r="E86" s="17">
        <v>-639.0</v>
      </c>
      <c r="F86" s="18">
        <f t="shared" si="10"/>
        <v>0.2886751346</v>
      </c>
    </row>
    <row r="87">
      <c r="A87" s="17">
        <v>18.8</v>
      </c>
      <c r="B87" s="18"/>
      <c r="C87" s="17">
        <v>-0.788</v>
      </c>
      <c r="D87" s="11">
        <f t="shared" si="1"/>
        <v>0.01088</v>
      </c>
      <c r="E87" s="17">
        <v>-626.0</v>
      </c>
      <c r="F87" s="18">
        <f t="shared" si="10"/>
        <v>0.2886751346</v>
      </c>
    </row>
    <row r="88">
      <c r="A88" s="17">
        <v>17.4</v>
      </c>
      <c r="B88" s="18"/>
      <c r="C88" s="17">
        <v>-0.727</v>
      </c>
      <c r="D88" s="11">
        <f t="shared" si="1"/>
        <v>0.01027</v>
      </c>
      <c r="E88" s="17">
        <v>-610.0</v>
      </c>
      <c r="F88" s="18">
        <f t="shared" si="10"/>
        <v>0.2886751346</v>
      </c>
    </row>
    <row r="89">
      <c r="A89" s="17">
        <v>16.0</v>
      </c>
      <c r="B89" s="18"/>
      <c r="C89" s="17">
        <v>-0.667</v>
      </c>
      <c r="D89" s="11">
        <f t="shared" si="1"/>
        <v>0.00967</v>
      </c>
      <c r="E89" s="17">
        <v>-594.0</v>
      </c>
      <c r="F89" s="18">
        <f t="shared" si="10"/>
        <v>0.2886751346</v>
      </c>
    </row>
    <row r="90">
      <c r="A90" s="17">
        <v>14.6</v>
      </c>
      <c r="B90" s="18"/>
      <c r="C90" s="17">
        <v>-0.607</v>
      </c>
      <c r="D90" s="11">
        <f t="shared" si="1"/>
        <v>0.00907</v>
      </c>
      <c r="E90" s="17">
        <v>-575.0</v>
      </c>
      <c r="F90" s="18">
        <f t="shared" si="10"/>
        <v>0.2886751346</v>
      </c>
    </row>
    <row r="91">
      <c r="A91" s="17">
        <v>13.0</v>
      </c>
      <c r="B91" s="18"/>
      <c r="C91" s="17">
        <v>-0.542</v>
      </c>
      <c r="D91" s="11">
        <f t="shared" si="1"/>
        <v>0.00842</v>
      </c>
      <c r="E91" s="17">
        <v>-553.0</v>
      </c>
      <c r="F91" s="18">
        <f t="shared" si="10"/>
        <v>0.2886751346</v>
      </c>
    </row>
    <row r="92">
      <c r="A92" s="17">
        <v>11.8</v>
      </c>
      <c r="B92" s="18"/>
      <c r="C92" s="17">
        <v>-0.491</v>
      </c>
      <c r="D92" s="11">
        <f t="shared" si="1"/>
        <v>0.00791</v>
      </c>
      <c r="E92" s="17">
        <v>-534.0</v>
      </c>
      <c r="F92" s="18">
        <f t="shared" si="10"/>
        <v>0.2886751346</v>
      </c>
    </row>
    <row r="93">
      <c r="A93" s="17">
        <v>10.6</v>
      </c>
      <c r="B93" s="18"/>
      <c r="C93" s="17">
        <v>-0.44</v>
      </c>
      <c r="D93" s="11">
        <f t="shared" si="1"/>
        <v>0.0074</v>
      </c>
      <c r="E93" s="17">
        <v>-513.0</v>
      </c>
      <c r="F93" s="18">
        <f t="shared" si="10"/>
        <v>0.2886751346</v>
      </c>
    </row>
    <row r="94">
      <c r="A94" s="17">
        <v>9.3</v>
      </c>
      <c r="B94" s="18"/>
      <c r="C94" s="17">
        <v>-0.386</v>
      </c>
      <c r="D94" s="11">
        <f t="shared" si="1"/>
        <v>0.00686</v>
      </c>
      <c r="E94" s="17">
        <v>-488.0</v>
      </c>
      <c r="F94" s="18">
        <f t="shared" si="10"/>
        <v>0.2886751346</v>
      </c>
    </row>
    <row r="95">
      <c r="A95" s="17">
        <v>7.9</v>
      </c>
      <c r="B95" s="18"/>
      <c r="C95" s="17">
        <v>-0.33</v>
      </c>
      <c r="D95" s="11">
        <f t="shared" si="1"/>
        <v>0.0063</v>
      </c>
      <c r="E95" s="17">
        <v>-458.0</v>
      </c>
      <c r="F95" s="18">
        <f t="shared" si="10"/>
        <v>0.2886751346</v>
      </c>
    </row>
    <row r="96">
      <c r="A96" s="17">
        <v>6.8</v>
      </c>
      <c r="B96" s="18"/>
      <c r="C96" s="17">
        <v>-0.284</v>
      </c>
      <c r="D96" s="11">
        <f t="shared" si="1"/>
        <v>0.00584</v>
      </c>
      <c r="E96" s="17">
        <v>-431.0</v>
      </c>
      <c r="F96" s="18">
        <f t="shared" si="10"/>
        <v>0.2886751346</v>
      </c>
    </row>
    <row r="97">
      <c r="A97" s="17">
        <v>5.3</v>
      </c>
      <c r="B97" s="18"/>
      <c r="C97" s="17">
        <v>-0.221</v>
      </c>
      <c r="D97" s="11">
        <f t="shared" si="1"/>
        <v>0.00521</v>
      </c>
      <c r="E97" s="17">
        <v>-388.0</v>
      </c>
      <c r="F97" s="18">
        <f t="shared" si="10"/>
        <v>0.2886751346</v>
      </c>
    </row>
    <row r="98">
      <c r="A98" s="17">
        <v>4.1</v>
      </c>
      <c r="B98" s="18"/>
      <c r="C98" s="17">
        <v>-0.171</v>
      </c>
      <c r="D98" s="11">
        <f t="shared" si="1"/>
        <v>0.00471</v>
      </c>
      <c r="E98" s="17">
        <v>-348.0</v>
      </c>
      <c r="F98" s="18">
        <f t="shared" si="10"/>
        <v>0.2886751346</v>
      </c>
    </row>
    <row r="99">
      <c r="A99" s="17">
        <v>2.6</v>
      </c>
      <c r="B99" s="18"/>
      <c r="C99" s="17">
        <v>-0.11</v>
      </c>
      <c r="D99" s="11">
        <f t="shared" si="1"/>
        <v>0.0041</v>
      </c>
      <c r="E99" s="17">
        <v>-290.0</v>
      </c>
      <c r="F99" s="18">
        <f t="shared" si="10"/>
        <v>0.2886751346</v>
      </c>
    </row>
    <row r="100">
      <c r="A100" s="17">
        <v>1.0</v>
      </c>
      <c r="B100" s="18"/>
      <c r="C100" s="17">
        <v>-0.039</v>
      </c>
      <c r="D100" s="11">
        <f t="shared" si="1"/>
        <v>0.00339</v>
      </c>
      <c r="E100" s="17">
        <v>-199.0</v>
      </c>
      <c r="F100" s="18">
        <f t="shared" si="10"/>
        <v>0.2886751346</v>
      </c>
    </row>
    <row r="101">
      <c r="A101" s="17">
        <v>0.5</v>
      </c>
      <c r="B101" s="18"/>
      <c r="C101" s="17">
        <v>-0.021</v>
      </c>
      <c r="D101" s="11">
        <f t="shared" si="1"/>
        <v>0.00321</v>
      </c>
      <c r="E101" s="17">
        <v>-173.0</v>
      </c>
      <c r="F101" s="18">
        <f t="shared" si="10"/>
        <v>0.2886751346</v>
      </c>
    </row>
    <row r="102">
      <c r="A102" s="17">
        <v>0.2</v>
      </c>
      <c r="B102" s="18"/>
      <c r="C102" s="17">
        <v>-0.009</v>
      </c>
      <c r="D102" s="11">
        <f t="shared" si="1"/>
        <v>0.00309</v>
      </c>
      <c r="E102" s="17">
        <v>-153.0</v>
      </c>
      <c r="F102" s="18">
        <f t="shared" si="10"/>
        <v>0.2886751346</v>
      </c>
    </row>
    <row r="103">
      <c r="A103" s="21">
        <v>0.0</v>
      </c>
      <c r="B103" s="22"/>
      <c r="C103" s="21">
        <v>0.003</v>
      </c>
      <c r="D103" s="11">
        <f t="shared" si="1"/>
        <v>0.00303</v>
      </c>
      <c r="E103" s="21">
        <v>-151.0</v>
      </c>
      <c r="F103" s="22">
        <f t="shared" si="10"/>
        <v>0.2886751346</v>
      </c>
    </row>
    <row r="104">
      <c r="A104" s="17">
        <v>1.3</v>
      </c>
      <c r="B104" s="18"/>
      <c r="C104" s="17">
        <v>0.054</v>
      </c>
      <c r="D104" s="11">
        <f t="shared" si="1"/>
        <v>0.00354</v>
      </c>
      <c r="E104" s="17">
        <v>-49.7</v>
      </c>
      <c r="F104" s="18">
        <f t="shared" ref="F104:F106" si="11">0.1/SQRT(12)</f>
        <v>0.02886751346</v>
      </c>
    </row>
    <row r="105">
      <c r="A105" s="17">
        <v>1.5</v>
      </c>
      <c r="B105" s="18"/>
      <c r="C105" s="17">
        <v>0.064</v>
      </c>
      <c r="D105" s="11">
        <f t="shared" si="1"/>
        <v>0.00364</v>
      </c>
      <c r="E105" s="17">
        <v>-35.8</v>
      </c>
      <c r="F105" s="18">
        <f t="shared" si="11"/>
        <v>0.02886751346</v>
      </c>
    </row>
    <row r="106">
      <c r="A106" s="17">
        <v>1.8</v>
      </c>
      <c r="B106" s="18"/>
      <c r="C106" s="17">
        <v>0.073</v>
      </c>
      <c r="D106" s="11">
        <f t="shared" si="1"/>
        <v>0.00373</v>
      </c>
      <c r="E106" s="17">
        <v>-21.2</v>
      </c>
      <c r="F106" s="18">
        <f t="shared" si="11"/>
        <v>0.02886751346</v>
      </c>
    </row>
    <row r="107">
      <c r="A107" s="17">
        <v>2.1</v>
      </c>
      <c r="B107" s="18"/>
      <c r="C107" s="17">
        <v>0.087</v>
      </c>
      <c r="D107" s="11">
        <f t="shared" si="1"/>
        <v>0.00387</v>
      </c>
      <c r="E107" s="17">
        <v>1.2</v>
      </c>
      <c r="F107" s="18">
        <f>0.01/SQRT(12)</f>
        <v>0.002886751346</v>
      </c>
    </row>
    <row r="108">
      <c r="A108" s="17">
        <v>2.9</v>
      </c>
      <c r="B108" s="18"/>
      <c r="C108" s="17">
        <v>0.12</v>
      </c>
      <c r="D108" s="11">
        <f t="shared" si="1"/>
        <v>0.0042</v>
      </c>
      <c r="E108" s="17">
        <v>52.2</v>
      </c>
      <c r="F108" s="18">
        <f t="shared" ref="F108:F110" si="12">0.1/SQRT(12)</f>
        <v>0.02886751346</v>
      </c>
    </row>
    <row r="109">
      <c r="A109" s="17">
        <v>4.6</v>
      </c>
      <c r="B109" s="18"/>
      <c r="C109" s="17">
        <v>0.191</v>
      </c>
      <c r="D109" s="11">
        <f t="shared" si="1"/>
        <v>0.00491</v>
      </c>
      <c r="E109" s="17">
        <v>154.8</v>
      </c>
      <c r="F109" s="18">
        <f t="shared" si="12"/>
        <v>0.02886751346</v>
      </c>
    </row>
    <row r="110">
      <c r="A110" s="17">
        <v>5.4</v>
      </c>
      <c r="B110" s="18"/>
      <c r="C110" s="17">
        <v>0.223</v>
      </c>
      <c r="D110" s="11">
        <f t="shared" si="1"/>
        <v>0.00523</v>
      </c>
      <c r="E110" s="17">
        <v>199.6</v>
      </c>
      <c r="F110" s="18">
        <f t="shared" si="12"/>
        <v>0.02886751346</v>
      </c>
    </row>
    <row r="111">
      <c r="A111" s="17">
        <v>6.0</v>
      </c>
      <c r="B111" s="18"/>
      <c r="C111" s="17">
        <v>0.269</v>
      </c>
      <c r="D111" s="11">
        <f t="shared" si="1"/>
        <v>0.00569</v>
      </c>
      <c r="E111" s="17">
        <v>258.0</v>
      </c>
      <c r="F111" s="18">
        <f t="shared" ref="F111:F125" si="13">1/SQRT(12)</f>
        <v>0.2886751346</v>
      </c>
    </row>
    <row r="112">
      <c r="A112" s="17">
        <v>7.4</v>
      </c>
      <c r="B112" s="18"/>
      <c r="C112" s="17">
        <v>0.31</v>
      </c>
      <c r="D112" s="11">
        <f t="shared" si="1"/>
        <v>0.0061</v>
      </c>
      <c r="E112" s="17">
        <v>305.0</v>
      </c>
      <c r="F112" s="18">
        <f t="shared" si="13"/>
        <v>0.2886751346</v>
      </c>
    </row>
    <row r="113">
      <c r="A113" s="17">
        <v>8.6</v>
      </c>
      <c r="B113" s="18"/>
      <c r="C113" s="17">
        <v>0.362</v>
      </c>
      <c r="D113" s="11">
        <f t="shared" si="1"/>
        <v>0.00662</v>
      </c>
      <c r="E113" s="17">
        <v>358.0</v>
      </c>
      <c r="F113" s="18">
        <f t="shared" si="13"/>
        <v>0.2886751346</v>
      </c>
    </row>
    <row r="114">
      <c r="A114" s="17">
        <v>10.0</v>
      </c>
      <c r="B114" s="18"/>
      <c r="C114" s="17">
        <v>0.42</v>
      </c>
      <c r="D114" s="11">
        <f t="shared" si="1"/>
        <v>0.0072</v>
      </c>
      <c r="E114" s="17">
        <v>409.0</v>
      </c>
      <c r="F114" s="18">
        <f t="shared" si="13"/>
        <v>0.2886751346</v>
      </c>
    </row>
    <row r="115">
      <c r="A115" s="17">
        <v>11.6</v>
      </c>
      <c r="B115" s="18"/>
      <c r="C115" s="17">
        <v>0.49</v>
      </c>
      <c r="D115" s="11">
        <f t="shared" si="1"/>
        <v>0.0079</v>
      </c>
      <c r="E115" s="17">
        <v>460.0</v>
      </c>
      <c r="F115" s="18">
        <f t="shared" si="13"/>
        <v>0.2886751346</v>
      </c>
    </row>
    <row r="116">
      <c r="A116" s="17">
        <v>13.0</v>
      </c>
      <c r="B116" s="18"/>
      <c r="C116" s="17">
        <v>0.549</v>
      </c>
      <c r="D116" s="11">
        <f t="shared" si="1"/>
        <v>0.00849</v>
      </c>
      <c r="E116" s="17">
        <v>496.0</v>
      </c>
      <c r="F116" s="18">
        <f t="shared" si="13"/>
        <v>0.2886751346</v>
      </c>
    </row>
    <row r="117">
      <c r="A117" s="17">
        <v>14.3</v>
      </c>
      <c r="B117" s="18"/>
      <c r="C117" s="17">
        <v>0.601</v>
      </c>
      <c r="D117" s="11">
        <f t="shared" si="1"/>
        <v>0.00901</v>
      </c>
      <c r="E117" s="17">
        <v>525.0</v>
      </c>
      <c r="F117" s="18">
        <f t="shared" si="13"/>
        <v>0.2886751346</v>
      </c>
    </row>
    <row r="118">
      <c r="A118" s="17">
        <v>15.5</v>
      </c>
      <c r="B118" s="18"/>
      <c r="C118" s="17">
        <v>0.652</v>
      </c>
      <c r="D118" s="11">
        <f t="shared" si="1"/>
        <v>0.00952</v>
      </c>
      <c r="E118" s="17">
        <v>551.0</v>
      </c>
      <c r="F118" s="18">
        <f t="shared" si="13"/>
        <v>0.2886751346</v>
      </c>
    </row>
    <row r="119">
      <c r="A119" s="17">
        <v>16.6</v>
      </c>
      <c r="B119" s="18"/>
      <c r="C119" s="17">
        <v>0.701</v>
      </c>
      <c r="D119" s="11">
        <f t="shared" si="1"/>
        <v>0.01001</v>
      </c>
      <c r="E119" s="17">
        <v>572.0</v>
      </c>
      <c r="F119" s="18">
        <f t="shared" si="13"/>
        <v>0.2886751346</v>
      </c>
    </row>
    <row r="120">
      <c r="A120" s="17">
        <v>18.0</v>
      </c>
      <c r="B120" s="18"/>
      <c r="C120" s="17">
        <v>0.759</v>
      </c>
      <c r="D120" s="11">
        <f t="shared" si="1"/>
        <v>0.01059</v>
      </c>
      <c r="E120" s="17">
        <v>597.0</v>
      </c>
      <c r="F120" s="18">
        <f t="shared" si="13"/>
        <v>0.2886751346</v>
      </c>
    </row>
    <row r="121">
      <c r="A121" s="17">
        <v>19.5</v>
      </c>
      <c r="B121" s="18"/>
      <c r="C121" s="17">
        <v>0.823</v>
      </c>
      <c r="D121" s="11">
        <f t="shared" si="1"/>
        <v>0.01123</v>
      </c>
      <c r="E121" s="17">
        <v>621.0</v>
      </c>
      <c r="F121" s="18">
        <f t="shared" si="13"/>
        <v>0.2886751346</v>
      </c>
    </row>
    <row r="122">
      <c r="A122" s="17">
        <v>20.7</v>
      </c>
      <c r="B122" s="18"/>
      <c r="C122" s="17">
        <v>0.873</v>
      </c>
      <c r="D122" s="11">
        <f t="shared" si="1"/>
        <v>0.01173</v>
      </c>
      <c r="E122" s="17">
        <v>639.0</v>
      </c>
      <c r="F122" s="18">
        <f t="shared" si="13"/>
        <v>0.2886751346</v>
      </c>
    </row>
    <row r="123">
      <c r="A123" s="17">
        <v>22.1</v>
      </c>
      <c r="B123" s="18"/>
      <c r="C123" s="17">
        <v>0.93</v>
      </c>
      <c r="D123" s="11">
        <f t="shared" si="1"/>
        <v>0.0123</v>
      </c>
      <c r="E123" s="17">
        <v>658.0</v>
      </c>
      <c r="F123" s="18">
        <f t="shared" si="13"/>
        <v>0.2886751346</v>
      </c>
    </row>
    <row r="124">
      <c r="A124" s="17">
        <v>23.2</v>
      </c>
      <c r="B124" s="18"/>
      <c r="C124" s="17">
        <v>0.976</v>
      </c>
      <c r="D124" s="11">
        <f t="shared" si="1"/>
        <v>0.01276</v>
      </c>
      <c r="E124" s="17">
        <v>672.0</v>
      </c>
      <c r="F124" s="18">
        <f t="shared" si="13"/>
        <v>0.2886751346</v>
      </c>
    </row>
    <row r="125">
      <c r="A125" s="17">
        <v>23.8</v>
      </c>
      <c r="B125" s="18"/>
      <c r="C125" s="17">
        <v>0.999</v>
      </c>
      <c r="D125" s="11">
        <f t="shared" si="1"/>
        <v>0.01299</v>
      </c>
      <c r="E125" s="17">
        <v>679.0</v>
      </c>
      <c r="F125" s="18">
        <f t="shared" si="13"/>
        <v>0.2886751346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24</v>
      </c>
      <c r="B1" s="9" t="s">
        <v>26</v>
      </c>
      <c r="C1" s="9" t="s">
        <v>18</v>
      </c>
      <c r="D1" s="9" t="s">
        <v>27</v>
      </c>
    </row>
    <row r="2">
      <c r="A2" s="10">
        <v>0.0</v>
      </c>
      <c r="B2" s="11">
        <f t="shared" ref="B2:B118" si="1">(1/100)*ABS(A2)+3*0.001</f>
        <v>0.003</v>
      </c>
      <c r="C2" s="10">
        <v>0.01</v>
      </c>
      <c r="D2" s="11">
        <f t="shared" ref="D2:D5" si="2">0.01/SQRT(12)</f>
        <v>0.002886751346</v>
      </c>
    </row>
    <row r="3">
      <c r="A3" s="10">
        <v>0.008</v>
      </c>
      <c r="B3" s="11">
        <f t="shared" si="1"/>
        <v>0.00308</v>
      </c>
      <c r="C3" s="10">
        <v>4.07</v>
      </c>
      <c r="D3" s="11">
        <f t="shared" si="2"/>
        <v>0.002886751346</v>
      </c>
    </row>
    <row r="4">
      <c r="A4" s="10">
        <v>0.016</v>
      </c>
      <c r="B4" s="11">
        <f t="shared" si="1"/>
        <v>0.00316</v>
      </c>
      <c r="C4" s="13">
        <v>8.46</v>
      </c>
      <c r="D4" s="11">
        <f t="shared" si="2"/>
        <v>0.002886751346</v>
      </c>
    </row>
    <row r="5">
      <c r="A5" s="10">
        <v>0.022</v>
      </c>
      <c r="B5" s="11">
        <f t="shared" si="1"/>
        <v>0.00322</v>
      </c>
      <c r="C5" s="10">
        <v>12.6</v>
      </c>
      <c r="D5" s="11">
        <f t="shared" si="2"/>
        <v>0.002886751346</v>
      </c>
    </row>
    <row r="6">
      <c r="A6" s="10">
        <v>0.04</v>
      </c>
      <c r="B6" s="11">
        <f t="shared" si="1"/>
        <v>0.0034</v>
      </c>
      <c r="C6" s="10">
        <v>28.5</v>
      </c>
      <c r="D6" s="11">
        <f t="shared" ref="D6:D11" si="3">0.1/SQRT(12)</f>
        <v>0.02886751346</v>
      </c>
    </row>
    <row r="7">
      <c r="A7" s="10">
        <v>0.05</v>
      </c>
      <c r="B7" s="11">
        <f t="shared" si="1"/>
        <v>0.0035</v>
      </c>
      <c r="C7" s="10">
        <v>43.5</v>
      </c>
      <c r="D7" s="11">
        <f t="shared" si="3"/>
        <v>0.02886751346</v>
      </c>
    </row>
    <row r="8">
      <c r="A8" s="10">
        <v>0.067</v>
      </c>
      <c r="B8" s="11">
        <f t="shared" si="1"/>
        <v>0.00367</v>
      </c>
      <c r="C8" s="10">
        <v>60.4</v>
      </c>
      <c r="D8" s="11">
        <f t="shared" si="3"/>
        <v>0.02886751346</v>
      </c>
    </row>
    <row r="9">
      <c r="A9" s="17">
        <v>0.106</v>
      </c>
      <c r="B9" s="11">
        <f t="shared" si="1"/>
        <v>0.00406</v>
      </c>
      <c r="C9" s="11">
        <v>111.8</v>
      </c>
      <c r="D9" s="18">
        <f t="shared" si="3"/>
        <v>0.02886751346</v>
      </c>
    </row>
    <row r="10">
      <c r="A10" s="17">
        <v>0.126</v>
      </c>
      <c r="B10" s="11">
        <f t="shared" si="1"/>
        <v>0.00426</v>
      </c>
      <c r="C10" s="18">
        <v>139.2</v>
      </c>
      <c r="D10" s="18">
        <f t="shared" si="3"/>
        <v>0.02886751346</v>
      </c>
    </row>
    <row r="11">
      <c r="A11" s="17">
        <v>0.156</v>
      </c>
      <c r="B11" s="11">
        <f t="shared" si="1"/>
        <v>0.00456</v>
      </c>
      <c r="C11" s="18">
        <v>182.9</v>
      </c>
      <c r="D11" s="18">
        <f t="shared" si="3"/>
        <v>0.02886751346</v>
      </c>
    </row>
    <row r="12">
      <c r="A12" s="17">
        <v>0.195</v>
      </c>
      <c r="B12" s="11">
        <f t="shared" si="1"/>
        <v>0.00495</v>
      </c>
      <c r="C12" s="17">
        <v>234.0</v>
      </c>
      <c r="D12" s="18">
        <f t="shared" ref="D12:D47" si="4">1/SQRT(12)</f>
        <v>0.2886751346</v>
      </c>
    </row>
    <row r="13">
      <c r="A13" s="17">
        <v>0.262</v>
      </c>
      <c r="B13" s="11">
        <f t="shared" si="1"/>
        <v>0.00562</v>
      </c>
      <c r="C13" s="17">
        <v>306.0</v>
      </c>
      <c r="D13" s="18">
        <f t="shared" si="4"/>
        <v>0.2886751346</v>
      </c>
    </row>
    <row r="14">
      <c r="A14" s="17">
        <v>0.296</v>
      </c>
      <c r="B14" s="11">
        <f t="shared" si="1"/>
        <v>0.00596</v>
      </c>
      <c r="C14" s="17">
        <v>337.0</v>
      </c>
      <c r="D14" s="18">
        <f t="shared" si="4"/>
        <v>0.2886751346</v>
      </c>
    </row>
    <row r="15">
      <c r="A15" s="17">
        <v>0.348</v>
      </c>
      <c r="B15" s="11">
        <f t="shared" si="1"/>
        <v>0.00648</v>
      </c>
      <c r="C15" s="17">
        <v>375.0</v>
      </c>
      <c r="D15" s="18">
        <f t="shared" si="4"/>
        <v>0.2886751346</v>
      </c>
    </row>
    <row r="16">
      <c r="A16" s="17">
        <v>0.413</v>
      </c>
      <c r="B16" s="11">
        <f t="shared" si="1"/>
        <v>0.00713</v>
      </c>
      <c r="C16" s="17">
        <v>421.0</v>
      </c>
      <c r="D16" s="18">
        <f t="shared" si="4"/>
        <v>0.2886751346</v>
      </c>
    </row>
    <row r="17">
      <c r="A17" s="17">
        <v>0.48</v>
      </c>
      <c r="B17" s="11">
        <f t="shared" si="1"/>
        <v>0.0078</v>
      </c>
      <c r="C17" s="17">
        <v>463.0</v>
      </c>
      <c r="D17" s="18">
        <f t="shared" si="4"/>
        <v>0.2886751346</v>
      </c>
    </row>
    <row r="18">
      <c r="A18" s="17">
        <v>0.522</v>
      </c>
      <c r="B18" s="11">
        <f t="shared" si="1"/>
        <v>0.00822</v>
      </c>
      <c r="C18" s="17">
        <v>484.0</v>
      </c>
      <c r="D18" s="18">
        <f t="shared" si="4"/>
        <v>0.2886751346</v>
      </c>
    </row>
    <row r="19">
      <c r="A19" s="17">
        <v>0.561</v>
      </c>
      <c r="B19" s="11">
        <f t="shared" si="1"/>
        <v>0.00861</v>
      </c>
      <c r="C19" s="17">
        <v>504.0</v>
      </c>
      <c r="D19" s="18">
        <f t="shared" si="4"/>
        <v>0.2886751346</v>
      </c>
    </row>
    <row r="20">
      <c r="A20" s="17">
        <v>0.608</v>
      </c>
      <c r="B20" s="11">
        <f t="shared" si="1"/>
        <v>0.00908</v>
      </c>
      <c r="C20" s="17">
        <v>527.0</v>
      </c>
      <c r="D20" s="18">
        <f t="shared" si="4"/>
        <v>0.2886751346</v>
      </c>
    </row>
    <row r="21">
      <c r="A21" s="17">
        <v>0.673</v>
      </c>
      <c r="B21" s="11">
        <f t="shared" si="1"/>
        <v>0.00973</v>
      </c>
      <c r="C21" s="17">
        <v>556.0</v>
      </c>
      <c r="D21" s="18">
        <f t="shared" si="4"/>
        <v>0.2886751346</v>
      </c>
    </row>
    <row r="22">
      <c r="A22" s="17">
        <v>0.719</v>
      </c>
      <c r="B22" s="11">
        <f t="shared" si="1"/>
        <v>0.01019</v>
      </c>
      <c r="C22" s="17">
        <v>575.0</v>
      </c>
      <c r="D22" s="18">
        <f t="shared" si="4"/>
        <v>0.2886751346</v>
      </c>
    </row>
    <row r="23">
      <c r="A23" s="17">
        <v>0.773</v>
      </c>
      <c r="B23" s="11">
        <f t="shared" si="1"/>
        <v>0.01073</v>
      </c>
      <c r="C23" s="17">
        <v>596.0</v>
      </c>
      <c r="D23" s="18">
        <f t="shared" si="4"/>
        <v>0.2886751346</v>
      </c>
    </row>
    <row r="24">
      <c r="A24" s="17">
        <v>0.824</v>
      </c>
      <c r="B24" s="11">
        <f t="shared" si="1"/>
        <v>0.01124</v>
      </c>
      <c r="C24" s="17">
        <v>615.0</v>
      </c>
      <c r="D24" s="18">
        <f t="shared" si="4"/>
        <v>0.2886751346</v>
      </c>
    </row>
    <row r="25">
      <c r="A25" s="17">
        <v>0.88</v>
      </c>
      <c r="B25" s="11">
        <f t="shared" si="1"/>
        <v>0.0118</v>
      </c>
      <c r="C25" s="17">
        <v>633.0</v>
      </c>
      <c r="D25" s="18">
        <f t="shared" si="4"/>
        <v>0.2886751346</v>
      </c>
    </row>
    <row r="26">
      <c r="A26" s="17">
        <v>0.923</v>
      </c>
      <c r="B26" s="11">
        <f t="shared" si="1"/>
        <v>0.01223</v>
      </c>
      <c r="C26" s="17">
        <v>648.0</v>
      </c>
      <c r="D26" s="18">
        <f t="shared" si="4"/>
        <v>0.2886751346</v>
      </c>
    </row>
    <row r="27">
      <c r="A27" s="17">
        <v>0.97</v>
      </c>
      <c r="B27" s="11">
        <f t="shared" si="1"/>
        <v>0.0127</v>
      </c>
      <c r="C27" s="17">
        <v>664.0</v>
      </c>
      <c r="D27" s="18">
        <f t="shared" si="4"/>
        <v>0.2886751346</v>
      </c>
    </row>
    <row r="28">
      <c r="A28" s="21">
        <v>0.994</v>
      </c>
      <c r="B28" s="11">
        <f t="shared" si="1"/>
        <v>0.01294</v>
      </c>
      <c r="C28" s="21">
        <v>672.0</v>
      </c>
      <c r="D28" s="22">
        <f t="shared" si="4"/>
        <v>0.2886751346</v>
      </c>
    </row>
    <row r="29">
      <c r="A29" s="17">
        <v>0.937</v>
      </c>
      <c r="B29" s="11">
        <f t="shared" si="1"/>
        <v>0.01237</v>
      </c>
      <c r="C29" s="17">
        <v>661.0</v>
      </c>
      <c r="D29" s="18">
        <f t="shared" si="4"/>
        <v>0.2886751346</v>
      </c>
    </row>
    <row r="30">
      <c r="A30" s="17">
        <v>0.881</v>
      </c>
      <c r="B30" s="11">
        <f t="shared" si="1"/>
        <v>0.01181</v>
      </c>
      <c r="C30" s="17">
        <v>650.0</v>
      </c>
      <c r="D30" s="18">
        <f t="shared" si="4"/>
        <v>0.2886751346</v>
      </c>
    </row>
    <row r="31">
      <c r="A31" s="17">
        <v>0.83</v>
      </c>
      <c r="B31" s="11">
        <f t="shared" si="1"/>
        <v>0.0113</v>
      </c>
      <c r="C31" s="17">
        <v>639.0</v>
      </c>
      <c r="D31" s="18">
        <f t="shared" si="4"/>
        <v>0.2886751346</v>
      </c>
    </row>
    <row r="32">
      <c r="A32" s="17">
        <v>0.774</v>
      </c>
      <c r="B32" s="11">
        <f t="shared" si="1"/>
        <v>0.01074</v>
      </c>
      <c r="C32" s="17">
        <v>626.0</v>
      </c>
      <c r="D32" s="18">
        <f t="shared" si="4"/>
        <v>0.2886751346</v>
      </c>
    </row>
    <row r="33">
      <c r="A33" s="17">
        <v>0.72</v>
      </c>
      <c r="B33" s="11">
        <f t="shared" si="1"/>
        <v>0.0102</v>
      </c>
      <c r="C33" s="17">
        <v>611.0</v>
      </c>
      <c r="D33" s="18">
        <f t="shared" si="4"/>
        <v>0.2886751346</v>
      </c>
    </row>
    <row r="34">
      <c r="A34" s="17">
        <v>0.658</v>
      </c>
      <c r="B34" s="11">
        <f t="shared" si="1"/>
        <v>0.00958</v>
      </c>
      <c r="C34" s="17">
        <v>594.0</v>
      </c>
      <c r="D34" s="18">
        <f t="shared" si="4"/>
        <v>0.2886751346</v>
      </c>
    </row>
    <row r="35">
      <c r="A35" s="17">
        <v>0.602</v>
      </c>
      <c r="B35" s="11">
        <f t="shared" si="1"/>
        <v>0.00902</v>
      </c>
      <c r="C35" s="17">
        <v>577.0</v>
      </c>
      <c r="D35" s="18">
        <f t="shared" si="4"/>
        <v>0.2886751346</v>
      </c>
    </row>
    <row r="36">
      <c r="A36" s="17">
        <v>0.55</v>
      </c>
      <c r="B36" s="11">
        <f t="shared" si="1"/>
        <v>0.0085</v>
      </c>
      <c r="C36" s="17">
        <v>559.0</v>
      </c>
      <c r="D36" s="18">
        <f t="shared" si="4"/>
        <v>0.2886751346</v>
      </c>
    </row>
    <row r="37">
      <c r="A37" s="17">
        <v>0.494</v>
      </c>
      <c r="B37" s="11">
        <f t="shared" si="1"/>
        <v>0.00794</v>
      </c>
      <c r="C37" s="17">
        <v>538.0</v>
      </c>
      <c r="D37" s="18">
        <f t="shared" si="4"/>
        <v>0.2886751346</v>
      </c>
    </row>
    <row r="38">
      <c r="A38" s="17">
        <v>0.446</v>
      </c>
      <c r="B38" s="11">
        <f t="shared" si="1"/>
        <v>0.00746</v>
      </c>
      <c r="C38" s="17">
        <v>519.0</v>
      </c>
      <c r="D38" s="18">
        <f t="shared" si="4"/>
        <v>0.2886751346</v>
      </c>
    </row>
    <row r="39">
      <c r="A39" s="17">
        <v>0.39</v>
      </c>
      <c r="B39" s="11">
        <f t="shared" si="1"/>
        <v>0.0069</v>
      </c>
      <c r="C39" s="17">
        <v>494.0</v>
      </c>
      <c r="D39" s="18">
        <f t="shared" si="4"/>
        <v>0.2886751346</v>
      </c>
    </row>
    <row r="40">
      <c r="A40" s="17">
        <v>0.34</v>
      </c>
      <c r="B40" s="11">
        <f t="shared" si="1"/>
        <v>0.0064</v>
      </c>
      <c r="C40" s="17">
        <v>468.0</v>
      </c>
      <c r="D40" s="18">
        <f t="shared" si="4"/>
        <v>0.2886751346</v>
      </c>
    </row>
    <row r="41">
      <c r="A41" s="17">
        <v>0.288</v>
      </c>
      <c r="B41" s="11">
        <f t="shared" si="1"/>
        <v>0.00588</v>
      </c>
      <c r="C41" s="17">
        <v>437.0</v>
      </c>
      <c r="D41" s="18">
        <f t="shared" si="4"/>
        <v>0.2886751346</v>
      </c>
    </row>
    <row r="42">
      <c r="A42" s="17">
        <v>0.242</v>
      </c>
      <c r="B42" s="11">
        <f t="shared" si="1"/>
        <v>0.00542</v>
      </c>
      <c r="C42" s="17">
        <v>407.0</v>
      </c>
      <c r="D42" s="18">
        <f t="shared" si="4"/>
        <v>0.2886751346</v>
      </c>
    </row>
    <row r="43">
      <c r="A43" s="17">
        <v>0.207</v>
      </c>
      <c r="B43" s="11">
        <f t="shared" si="1"/>
        <v>0.00507</v>
      </c>
      <c r="C43" s="17">
        <v>380.0</v>
      </c>
      <c r="D43" s="18">
        <f t="shared" si="4"/>
        <v>0.2886751346</v>
      </c>
    </row>
    <row r="44">
      <c r="A44" s="17">
        <v>0.146</v>
      </c>
      <c r="B44" s="11">
        <f t="shared" si="1"/>
        <v>0.00446</v>
      </c>
      <c r="C44" s="17">
        <v>330.0</v>
      </c>
      <c r="D44" s="18">
        <f t="shared" si="4"/>
        <v>0.2886751346</v>
      </c>
    </row>
    <row r="45">
      <c r="A45" s="17">
        <v>0.103</v>
      </c>
      <c r="B45" s="11">
        <f t="shared" si="1"/>
        <v>0.00403</v>
      </c>
      <c r="C45" s="17">
        <v>288.0</v>
      </c>
      <c r="D45" s="18">
        <f t="shared" si="4"/>
        <v>0.2886751346</v>
      </c>
    </row>
    <row r="46">
      <c r="A46" s="17">
        <v>0.044</v>
      </c>
      <c r="B46" s="11">
        <f t="shared" si="1"/>
        <v>0.00344</v>
      </c>
      <c r="C46" s="17">
        <v>213.0</v>
      </c>
      <c r="D46" s="18">
        <f t="shared" si="4"/>
        <v>0.2886751346</v>
      </c>
    </row>
    <row r="47">
      <c r="A47" s="17">
        <v>0.02</v>
      </c>
      <c r="B47" s="11">
        <f t="shared" si="1"/>
        <v>0.0032</v>
      </c>
      <c r="C47" s="17">
        <v>177.0</v>
      </c>
      <c r="D47" s="18">
        <f t="shared" si="4"/>
        <v>0.2886751346</v>
      </c>
    </row>
    <row r="48">
      <c r="A48" s="25">
        <v>0.0</v>
      </c>
      <c r="B48" s="11">
        <f t="shared" si="1"/>
        <v>0.003</v>
      </c>
      <c r="C48" s="25">
        <v>145.9</v>
      </c>
      <c r="D48" s="26">
        <f t="shared" ref="D48:D53" si="5">0.1/SQRT(12)</f>
        <v>0.02886751346</v>
      </c>
    </row>
    <row r="49">
      <c r="A49" s="17">
        <v>-0.006</v>
      </c>
      <c r="B49" s="11">
        <f t="shared" si="1"/>
        <v>0.00306</v>
      </c>
      <c r="C49" s="17">
        <v>136.8</v>
      </c>
      <c r="D49" s="18">
        <f t="shared" si="5"/>
        <v>0.02886751346</v>
      </c>
    </row>
    <row r="50">
      <c r="A50" s="17">
        <v>-0.01</v>
      </c>
      <c r="B50" s="11">
        <f t="shared" si="1"/>
        <v>0.0031</v>
      </c>
      <c r="C50" s="17">
        <v>128.2</v>
      </c>
      <c r="D50" s="18">
        <f t="shared" si="5"/>
        <v>0.02886751346</v>
      </c>
    </row>
    <row r="51">
      <c r="A51" s="17">
        <v>-0.03</v>
      </c>
      <c r="B51" s="11">
        <f t="shared" si="1"/>
        <v>0.0033</v>
      </c>
      <c r="C51" s="17">
        <v>97.2</v>
      </c>
      <c r="D51" s="18">
        <f t="shared" si="5"/>
        <v>0.02886751346</v>
      </c>
    </row>
    <row r="52">
      <c r="A52" s="17">
        <v>-0.044</v>
      </c>
      <c r="B52" s="11">
        <f t="shared" si="1"/>
        <v>0.00344</v>
      </c>
      <c r="C52" s="17">
        <v>77.0</v>
      </c>
      <c r="D52" s="18">
        <f t="shared" si="5"/>
        <v>0.02886751346</v>
      </c>
    </row>
    <row r="53">
      <c r="A53" s="17">
        <v>-0.066</v>
      </c>
      <c r="B53" s="11">
        <f t="shared" si="1"/>
        <v>0.00366</v>
      </c>
      <c r="C53" s="17">
        <v>41.2</v>
      </c>
      <c r="D53" s="18">
        <f t="shared" si="5"/>
        <v>0.02886751346</v>
      </c>
    </row>
    <row r="54">
      <c r="A54" s="17">
        <v>-0.083</v>
      </c>
      <c r="B54" s="11">
        <f t="shared" si="1"/>
        <v>0.00383</v>
      </c>
      <c r="C54" s="17">
        <v>15.65</v>
      </c>
      <c r="D54" s="18">
        <f t="shared" ref="D54:D56" si="6">0.01/SQRT(12)</f>
        <v>0.002886751346</v>
      </c>
    </row>
    <row r="55">
      <c r="A55" s="17">
        <v>-0.093</v>
      </c>
      <c r="B55" s="11">
        <f t="shared" si="1"/>
        <v>0.00393</v>
      </c>
      <c r="C55" s="17">
        <v>-0.4</v>
      </c>
      <c r="D55" s="18">
        <f t="shared" si="6"/>
        <v>0.002886751346</v>
      </c>
    </row>
    <row r="56">
      <c r="A56" s="17">
        <v>-0.104</v>
      </c>
      <c r="B56" s="11">
        <f t="shared" si="1"/>
        <v>0.00404</v>
      </c>
      <c r="C56" s="17">
        <v>-16.57</v>
      </c>
      <c r="D56" s="18">
        <f t="shared" si="6"/>
        <v>0.002886751346</v>
      </c>
    </row>
    <row r="57">
      <c r="A57" s="17">
        <v>-0.135</v>
      </c>
      <c r="B57" s="11">
        <f t="shared" si="1"/>
        <v>0.00435</v>
      </c>
      <c r="C57" s="17">
        <v>-61.7</v>
      </c>
      <c r="D57" s="18">
        <f t="shared" ref="D57:D58" si="7">0.1/SQRT(12)</f>
        <v>0.02886751346</v>
      </c>
    </row>
    <row r="58">
      <c r="A58" s="17">
        <v>-0.181</v>
      </c>
      <c r="B58" s="11">
        <f t="shared" si="1"/>
        <v>0.00481</v>
      </c>
      <c r="C58" s="17">
        <v>-126.8</v>
      </c>
      <c r="D58" s="18">
        <f t="shared" si="7"/>
        <v>0.02886751346</v>
      </c>
    </row>
    <row r="59">
      <c r="A59" s="17">
        <v>-0.243</v>
      </c>
      <c r="B59" s="11">
        <f t="shared" si="1"/>
        <v>0.00543</v>
      </c>
      <c r="C59" s="17">
        <v>-208.0</v>
      </c>
      <c r="D59" s="18">
        <f t="shared" ref="D59:D96" si="8">1/SQRT(12)</f>
        <v>0.2886751346</v>
      </c>
    </row>
    <row r="60">
      <c r="A60" s="17">
        <v>-0.278</v>
      </c>
      <c r="B60" s="11">
        <f t="shared" si="1"/>
        <v>0.00578</v>
      </c>
      <c r="C60" s="17">
        <v>-250.0</v>
      </c>
      <c r="D60" s="18">
        <f t="shared" si="8"/>
        <v>0.2886751346</v>
      </c>
    </row>
    <row r="61">
      <c r="A61" s="17">
        <v>-0.322</v>
      </c>
      <c r="B61" s="11">
        <f t="shared" si="1"/>
        <v>0.00622</v>
      </c>
      <c r="C61" s="17">
        <v>-298.0</v>
      </c>
      <c r="D61" s="18">
        <f t="shared" si="8"/>
        <v>0.2886751346</v>
      </c>
    </row>
    <row r="62">
      <c r="A62" s="17">
        <v>-0.369</v>
      </c>
      <c r="B62" s="11">
        <f t="shared" si="1"/>
        <v>0.00669</v>
      </c>
      <c r="C62" s="17">
        <v>-348.0</v>
      </c>
      <c r="D62" s="18">
        <f t="shared" si="8"/>
        <v>0.2886751346</v>
      </c>
    </row>
    <row r="63">
      <c r="A63" s="17">
        <v>-0.408</v>
      </c>
      <c r="B63" s="11">
        <f t="shared" si="1"/>
        <v>0.00708</v>
      </c>
      <c r="C63" s="17">
        <v>-382.0</v>
      </c>
      <c r="D63" s="18">
        <f t="shared" si="8"/>
        <v>0.2886751346</v>
      </c>
    </row>
    <row r="64">
      <c r="A64" s="17">
        <v>-0.466</v>
      </c>
      <c r="B64" s="11">
        <f t="shared" si="1"/>
        <v>0.00766</v>
      </c>
      <c r="C64" s="17">
        <v>-427.0</v>
      </c>
      <c r="D64" s="18">
        <f t="shared" si="8"/>
        <v>0.2886751346</v>
      </c>
    </row>
    <row r="65">
      <c r="A65" s="17">
        <v>-0.517</v>
      </c>
      <c r="B65" s="11">
        <f t="shared" si="1"/>
        <v>0.00817</v>
      </c>
      <c r="C65" s="17">
        <v>-463.0</v>
      </c>
      <c r="D65" s="18">
        <f t="shared" si="8"/>
        <v>0.2886751346</v>
      </c>
    </row>
    <row r="66">
      <c r="A66" s="17">
        <v>-0.562</v>
      </c>
      <c r="B66" s="11">
        <f t="shared" si="1"/>
        <v>0.00862</v>
      </c>
      <c r="C66" s="17">
        <v>-489.0</v>
      </c>
      <c r="D66" s="18">
        <f t="shared" si="8"/>
        <v>0.2886751346</v>
      </c>
    </row>
    <row r="67">
      <c r="A67" s="17">
        <v>-0.609</v>
      </c>
      <c r="B67" s="11">
        <f t="shared" si="1"/>
        <v>0.00909</v>
      </c>
      <c r="C67" s="17">
        <v>-516.0</v>
      </c>
      <c r="D67" s="18">
        <f t="shared" si="8"/>
        <v>0.2886751346</v>
      </c>
    </row>
    <row r="68">
      <c r="A68" s="17">
        <v>-0.654</v>
      </c>
      <c r="B68" s="11">
        <f t="shared" si="1"/>
        <v>0.00954</v>
      </c>
      <c r="C68" s="17">
        <v>-539.0</v>
      </c>
      <c r="D68" s="18">
        <f t="shared" si="8"/>
        <v>0.2886751346</v>
      </c>
    </row>
    <row r="69">
      <c r="A69" s="17">
        <v>-0.707</v>
      </c>
      <c r="B69" s="11">
        <f t="shared" si="1"/>
        <v>0.01007</v>
      </c>
      <c r="C69" s="17">
        <v>-563.0</v>
      </c>
      <c r="D69" s="18">
        <f t="shared" si="8"/>
        <v>0.2886751346</v>
      </c>
    </row>
    <row r="70">
      <c r="A70" s="17">
        <v>-0.749</v>
      </c>
      <c r="B70" s="11">
        <f t="shared" si="1"/>
        <v>0.01049</v>
      </c>
      <c r="C70" s="17">
        <v>-581.0</v>
      </c>
      <c r="D70" s="18">
        <f t="shared" si="8"/>
        <v>0.2886751346</v>
      </c>
    </row>
    <row r="71">
      <c r="A71" s="17">
        <v>-0.798</v>
      </c>
      <c r="B71" s="11">
        <f t="shared" si="1"/>
        <v>0.01098</v>
      </c>
      <c r="C71" s="17">
        <v>-601.0</v>
      </c>
      <c r="D71" s="18">
        <f t="shared" si="8"/>
        <v>0.2886751346</v>
      </c>
    </row>
    <row r="72">
      <c r="A72" s="17">
        <v>-0.855</v>
      </c>
      <c r="B72" s="11">
        <f t="shared" si="1"/>
        <v>0.01155</v>
      </c>
      <c r="C72" s="17">
        <v>-622.0</v>
      </c>
      <c r="D72" s="18">
        <f t="shared" si="8"/>
        <v>0.2886751346</v>
      </c>
    </row>
    <row r="73">
      <c r="A73" s="17">
        <v>-0.903</v>
      </c>
      <c r="B73" s="11">
        <f t="shared" si="1"/>
        <v>0.01203</v>
      </c>
      <c r="C73" s="17">
        <v>-639.0</v>
      </c>
      <c r="D73" s="18">
        <f t="shared" si="8"/>
        <v>0.2886751346</v>
      </c>
    </row>
    <row r="74">
      <c r="A74" s="17">
        <v>-0.942</v>
      </c>
      <c r="B74" s="11">
        <f t="shared" si="1"/>
        <v>0.01242</v>
      </c>
      <c r="C74" s="17">
        <v>-652.0</v>
      </c>
      <c r="D74" s="18">
        <f t="shared" si="8"/>
        <v>0.2886751346</v>
      </c>
    </row>
    <row r="75">
      <c r="A75" s="17">
        <v>-0.982</v>
      </c>
      <c r="B75" s="11">
        <f t="shared" si="1"/>
        <v>0.01282</v>
      </c>
      <c r="C75" s="17">
        <v>-664.0</v>
      </c>
      <c r="D75" s="18">
        <f t="shared" si="8"/>
        <v>0.2886751346</v>
      </c>
    </row>
    <row r="76">
      <c r="A76" s="21">
        <v>-0.999</v>
      </c>
      <c r="B76" s="11">
        <f t="shared" si="1"/>
        <v>0.01299</v>
      </c>
      <c r="C76" s="21">
        <v>-669.0</v>
      </c>
      <c r="D76" s="22">
        <f t="shared" si="8"/>
        <v>0.2886751346</v>
      </c>
    </row>
    <row r="77">
      <c r="A77" s="17">
        <v>-0.943</v>
      </c>
      <c r="B77" s="11">
        <f t="shared" si="1"/>
        <v>0.01243</v>
      </c>
      <c r="C77" s="17">
        <v>-659.0</v>
      </c>
      <c r="D77" s="18">
        <f t="shared" si="8"/>
        <v>0.2886751346</v>
      </c>
    </row>
    <row r="78">
      <c r="A78" s="17">
        <v>-0.891</v>
      </c>
      <c r="B78" s="11">
        <f t="shared" si="1"/>
        <v>0.01191</v>
      </c>
      <c r="C78" s="17">
        <v>-649.0</v>
      </c>
      <c r="D78" s="18">
        <f t="shared" si="8"/>
        <v>0.2886751346</v>
      </c>
    </row>
    <row r="79">
      <c r="A79" s="17">
        <v>-0.843</v>
      </c>
      <c r="B79" s="11">
        <f t="shared" si="1"/>
        <v>0.01143</v>
      </c>
      <c r="C79" s="17">
        <v>-639.0</v>
      </c>
      <c r="D79" s="18">
        <f t="shared" si="8"/>
        <v>0.2886751346</v>
      </c>
    </row>
    <row r="80">
      <c r="A80" s="17">
        <v>-0.788</v>
      </c>
      <c r="B80" s="11">
        <f t="shared" si="1"/>
        <v>0.01088</v>
      </c>
      <c r="C80" s="17">
        <v>-626.0</v>
      </c>
      <c r="D80" s="18">
        <f t="shared" si="8"/>
        <v>0.2886751346</v>
      </c>
    </row>
    <row r="81">
      <c r="A81" s="17">
        <v>-0.727</v>
      </c>
      <c r="B81" s="11">
        <f t="shared" si="1"/>
        <v>0.01027</v>
      </c>
      <c r="C81" s="17">
        <v>-610.0</v>
      </c>
      <c r="D81" s="18">
        <f t="shared" si="8"/>
        <v>0.2886751346</v>
      </c>
    </row>
    <row r="82">
      <c r="A82" s="17">
        <v>-0.667</v>
      </c>
      <c r="B82" s="11">
        <f t="shared" si="1"/>
        <v>0.00967</v>
      </c>
      <c r="C82" s="17">
        <v>-594.0</v>
      </c>
      <c r="D82" s="18">
        <f t="shared" si="8"/>
        <v>0.2886751346</v>
      </c>
    </row>
    <row r="83">
      <c r="A83" s="17">
        <v>-0.607</v>
      </c>
      <c r="B83" s="11">
        <f t="shared" si="1"/>
        <v>0.00907</v>
      </c>
      <c r="C83" s="17">
        <v>-575.0</v>
      </c>
      <c r="D83" s="18">
        <f t="shared" si="8"/>
        <v>0.2886751346</v>
      </c>
    </row>
    <row r="84">
      <c r="A84" s="17">
        <v>-0.542</v>
      </c>
      <c r="B84" s="11">
        <f t="shared" si="1"/>
        <v>0.00842</v>
      </c>
      <c r="C84" s="17">
        <v>-553.0</v>
      </c>
      <c r="D84" s="18">
        <f t="shared" si="8"/>
        <v>0.2886751346</v>
      </c>
    </row>
    <row r="85">
      <c r="A85" s="17">
        <v>-0.491</v>
      </c>
      <c r="B85" s="11">
        <f t="shared" si="1"/>
        <v>0.00791</v>
      </c>
      <c r="C85" s="17">
        <v>-534.0</v>
      </c>
      <c r="D85" s="18">
        <f t="shared" si="8"/>
        <v>0.2886751346</v>
      </c>
    </row>
    <row r="86">
      <c r="A86" s="17">
        <v>-0.44</v>
      </c>
      <c r="B86" s="11">
        <f t="shared" si="1"/>
        <v>0.0074</v>
      </c>
      <c r="C86" s="17">
        <v>-513.0</v>
      </c>
      <c r="D86" s="18">
        <f t="shared" si="8"/>
        <v>0.2886751346</v>
      </c>
    </row>
    <row r="87">
      <c r="A87" s="17">
        <v>-0.386</v>
      </c>
      <c r="B87" s="11">
        <f t="shared" si="1"/>
        <v>0.00686</v>
      </c>
      <c r="C87" s="17">
        <v>-488.0</v>
      </c>
      <c r="D87" s="18">
        <f t="shared" si="8"/>
        <v>0.2886751346</v>
      </c>
    </row>
    <row r="88">
      <c r="A88" s="17">
        <v>-0.33</v>
      </c>
      <c r="B88" s="11">
        <f t="shared" si="1"/>
        <v>0.0063</v>
      </c>
      <c r="C88" s="17">
        <v>-458.0</v>
      </c>
      <c r="D88" s="18">
        <f t="shared" si="8"/>
        <v>0.2886751346</v>
      </c>
    </row>
    <row r="89">
      <c r="A89" s="17">
        <v>-0.284</v>
      </c>
      <c r="B89" s="11">
        <f t="shared" si="1"/>
        <v>0.00584</v>
      </c>
      <c r="C89" s="17">
        <v>-431.0</v>
      </c>
      <c r="D89" s="18">
        <f t="shared" si="8"/>
        <v>0.2886751346</v>
      </c>
    </row>
    <row r="90">
      <c r="A90" s="17">
        <v>-0.221</v>
      </c>
      <c r="B90" s="11">
        <f t="shared" si="1"/>
        <v>0.00521</v>
      </c>
      <c r="C90" s="17">
        <v>-388.0</v>
      </c>
      <c r="D90" s="18">
        <f t="shared" si="8"/>
        <v>0.2886751346</v>
      </c>
    </row>
    <row r="91">
      <c r="A91" s="17">
        <v>-0.171</v>
      </c>
      <c r="B91" s="11">
        <f t="shared" si="1"/>
        <v>0.00471</v>
      </c>
      <c r="C91" s="17">
        <v>-348.0</v>
      </c>
      <c r="D91" s="18">
        <f t="shared" si="8"/>
        <v>0.2886751346</v>
      </c>
    </row>
    <row r="92">
      <c r="A92" s="17">
        <v>-0.11</v>
      </c>
      <c r="B92" s="11">
        <f t="shared" si="1"/>
        <v>0.0041</v>
      </c>
      <c r="C92" s="17">
        <v>-290.0</v>
      </c>
      <c r="D92" s="18">
        <f t="shared" si="8"/>
        <v>0.2886751346</v>
      </c>
    </row>
    <row r="93">
      <c r="A93" s="17">
        <v>-0.039</v>
      </c>
      <c r="B93" s="11">
        <f t="shared" si="1"/>
        <v>0.00339</v>
      </c>
      <c r="C93" s="17">
        <v>-199.0</v>
      </c>
      <c r="D93" s="18">
        <f t="shared" si="8"/>
        <v>0.2886751346</v>
      </c>
    </row>
    <row r="94">
      <c r="A94" s="17">
        <v>-0.021</v>
      </c>
      <c r="B94" s="11">
        <f t="shared" si="1"/>
        <v>0.00321</v>
      </c>
      <c r="C94" s="17">
        <v>-173.0</v>
      </c>
      <c r="D94" s="18">
        <f t="shared" si="8"/>
        <v>0.2886751346</v>
      </c>
    </row>
    <row r="95">
      <c r="A95" s="17">
        <v>-0.009</v>
      </c>
      <c r="B95" s="11">
        <f t="shared" si="1"/>
        <v>0.00309</v>
      </c>
      <c r="C95" s="17">
        <v>-153.0</v>
      </c>
      <c r="D95" s="18">
        <f t="shared" si="8"/>
        <v>0.2886751346</v>
      </c>
    </row>
    <row r="96">
      <c r="A96" s="21">
        <v>0.003</v>
      </c>
      <c r="B96" s="11">
        <f t="shared" si="1"/>
        <v>0.00303</v>
      </c>
      <c r="C96" s="21">
        <v>-151.0</v>
      </c>
      <c r="D96" s="22">
        <f t="shared" si="8"/>
        <v>0.2886751346</v>
      </c>
    </row>
    <row r="97">
      <c r="A97" s="17">
        <v>0.054</v>
      </c>
      <c r="B97" s="11">
        <f t="shared" si="1"/>
        <v>0.00354</v>
      </c>
      <c r="C97" s="17">
        <v>-49.7</v>
      </c>
      <c r="D97" s="18">
        <f t="shared" ref="D97:D99" si="9">0.1/SQRT(12)</f>
        <v>0.02886751346</v>
      </c>
    </row>
    <row r="98">
      <c r="A98" s="17">
        <v>0.064</v>
      </c>
      <c r="B98" s="11">
        <f t="shared" si="1"/>
        <v>0.00364</v>
      </c>
      <c r="C98" s="17">
        <v>-35.8</v>
      </c>
      <c r="D98" s="18">
        <f t="shared" si="9"/>
        <v>0.02886751346</v>
      </c>
    </row>
    <row r="99">
      <c r="A99" s="17">
        <v>0.073</v>
      </c>
      <c r="B99" s="11">
        <f t="shared" si="1"/>
        <v>0.00373</v>
      </c>
      <c r="C99" s="17">
        <v>-21.2</v>
      </c>
      <c r="D99" s="18">
        <f t="shared" si="9"/>
        <v>0.02886751346</v>
      </c>
    </row>
    <row r="100">
      <c r="A100" s="17">
        <v>0.087</v>
      </c>
      <c r="B100" s="11">
        <f t="shared" si="1"/>
        <v>0.00387</v>
      </c>
      <c r="C100" s="17">
        <v>1.2</v>
      </c>
      <c r="D100" s="18">
        <f>0.01/SQRT(12)</f>
        <v>0.002886751346</v>
      </c>
    </row>
    <row r="101">
      <c r="A101" s="17">
        <v>0.12</v>
      </c>
      <c r="B101" s="11">
        <f t="shared" si="1"/>
        <v>0.0042</v>
      </c>
      <c r="C101" s="17">
        <v>52.2</v>
      </c>
      <c r="D101" s="18">
        <f t="shared" ref="D101:D103" si="10">0.1/SQRT(12)</f>
        <v>0.02886751346</v>
      </c>
    </row>
    <row r="102">
      <c r="A102" s="17">
        <v>0.191</v>
      </c>
      <c r="B102" s="11">
        <f t="shared" si="1"/>
        <v>0.00491</v>
      </c>
      <c r="C102" s="17">
        <v>154.8</v>
      </c>
      <c r="D102" s="18">
        <f t="shared" si="10"/>
        <v>0.02886751346</v>
      </c>
    </row>
    <row r="103">
      <c r="A103" s="17">
        <v>0.223</v>
      </c>
      <c r="B103" s="11">
        <f t="shared" si="1"/>
        <v>0.00523</v>
      </c>
      <c r="C103" s="17">
        <v>199.6</v>
      </c>
      <c r="D103" s="18">
        <f t="shared" si="10"/>
        <v>0.02886751346</v>
      </c>
    </row>
    <row r="104">
      <c r="A104" s="17">
        <v>0.269</v>
      </c>
      <c r="B104" s="11">
        <f t="shared" si="1"/>
        <v>0.00569</v>
      </c>
      <c r="C104" s="17">
        <v>258.0</v>
      </c>
      <c r="D104" s="18">
        <f t="shared" ref="D104:D118" si="11">1/SQRT(12)</f>
        <v>0.2886751346</v>
      </c>
    </row>
    <row r="105">
      <c r="A105" s="17">
        <v>0.31</v>
      </c>
      <c r="B105" s="11">
        <f t="shared" si="1"/>
        <v>0.0061</v>
      </c>
      <c r="C105" s="17">
        <v>305.0</v>
      </c>
      <c r="D105" s="18">
        <f t="shared" si="11"/>
        <v>0.2886751346</v>
      </c>
    </row>
    <row r="106">
      <c r="A106" s="17">
        <v>0.362</v>
      </c>
      <c r="B106" s="11">
        <f t="shared" si="1"/>
        <v>0.00662</v>
      </c>
      <c r="C106" s="17">
        <v>358.0</v>
      </c>
      <c r="D106" s="18">
        <f t="shared" si="11"/>
        <v>0.2886751346</v>
      </c>
    </row>
    <row r="107">
      <c r="A107" s="17">
        <v>0.42</v>
      </c>
      <c r="B107" s="11">
        <f t="shared" si="1"/>
        <v>0.0072</v>
      </c>
      <c r="C107" s="17">
        <v>409.0</v>
      </c>
      <c r="D107" s="18">
        <f t="shared" si="11"/>
        <v>0.2886751346</v>
      </c>
    </row>
    <row r="108">
      <c r="A108" s="17">
        <v>0.49</v>
      </c>
      <c r="B108" s="11">
        <f t="shared" si="1"/>
        <v>0.0079</v>
      </c>
      <c r="C108" s="17">
        <v>460.0</v>
      </c>
      <c r="D108" s="18">
        <f t="shared" si="11"/>
        <v>0.2886751346</v>
      </c>
    </row>
    <row r="109">
      <c r="A109" s="17">
        <v>0.549</v>
      </c>
      <c r="B109" s="11">
        <f t="shared" si="1"/>
        <v>0.00849</v>
      </c>
      <c r="C109" s="17">
        <v>496.0</v>
      </c>
      <c r="D109" s="18">
        <f t="shared" si="11"/>
        <v>0.2886751346</v>
      </c>
    </row>
    <row r="110">
      <c r="A110" s="17">
        <v>0.601</v>
      </c>
      <c r="B110" s="11">
        <f t="shared" si="1"/>
        <v>0.00901</v>
      </c>
      <c r="C110" s="17">
        <v>525.0</v>
      </c>
      <c r="D110" s="18">
        <f t="shared" si="11"/>
        <v>0.2886751346</v>
      </c>
    </row>
    <row r="111">
      <c r="A111" s="17">
        <v>0.652</v>
      </c>
      <c r="B111" s="11">
        <f t="shared" si="1"/>
        <v>0.00952</v>
      </c>
      <c r="C111" s="17">
        <v>551.0</v>
      </c>
      <c r="D111" s="18">
        <f t="shared" si="11"/>
        <v>0.2886751346</v>
      </c>
    </row>
    <row r="112">
      <c r="A112" s="17">
        <v>0.701</v>
      </c>
      <c r="B112" s="11">
        <f t="shared" si="1"/>
        <v>0.01001</v>
      </c>
      <c r="C112" s="17">
        <v>572.0</v>
      </c>
      <c r="D112" s="18">
        <f t="shared" si="11"/>
        <v>0.2886751346</v>
      </c>
    </row>
    <row r="113">
      <c r="A113" s="17">
        <v>0.759</v>
      </c>
      <c r="B113" s="11">
        <f t="shared" si="1"/>
        <v>0.01059</v>
      </c>
      <c r="C113" s="17">
        <v>597.0</v>
      </c>
      <c r="D113" s="18">
        <f t="shared" si="11"/>
        <v>0.2886751346</v>
      </c>
    </row>
    <row r="114">
      <c r="A114" s="17">
        <v>0.823</v>
      </c>
      <c r="B114" s="11">
        <f t="shared" si="1"/>
        <v>0.01123</v>
      </c>
      <c r="C114" s="17">
        <v>621.0</v>
      </c>
      <c r="D114" s="18">
        <f t="shared" si="11"/>
        <v>0.2886751346</v>
      </c>
    </row>
    <row r="115">
      <c r="A115" s="17">
        <v>0.873</v>
      </c>
      <c r="B115" s="11">
        <f t="shared" si="1"/>
        <v>0.01173</v>
      </c>
      <c r="C115" s="17">
        <v>639.0</v>
      </c>
      <c r="D115" s="18">
        <f t="shared" si="11"/>
        <v>0.2886751346</v>
      </c>
    </row>
    <row r="116">
      <c r="A116" s="17">
        <v>0.93</v>
      </c>
      <c r="B116" s="11">
        <f t="shared" si="1"/>
        <v>0.0123</v>
      </c>
      <c r="C116" s="17">
        <v>658.0</v>
      </c>
      <c r="D116" s="18">
        <f t="shared" si="11"/>
        <v>0.2886751346</v>
      </c>
    </row>
    <row r="117">
      <c r="A117" s="17">
        <v>0.976</v>
      </c>
      <c r="B117" s="11">
        <f t="shared" si="1"/>
        <v>0.01276</v>
      </c>
      <c r="C117" s="17">
        <v>672.0</v>
      </c>
      <c r="D117" s="18">
        <f t="shared" si="11"/>
        <v>0.2886751346</v>
      </c>
    </row>
    <row r="118">
      <c r="A118" s="17">
        <v>0.999</v>
      </c>
      <c r="B118" s="11">
        <f t="shared" si="1"/>
        <v>0.01299</v>
      </c>
      <c r="C118" s="17">
        <v>679.0</v>
      </c>
      <c r="D118" s="18">
        <f t="shared" si="11"/>
        <v>0.2886751346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8" max="8" width="14.0"/>
  </cols>
  <sheetData>
    <row r="1">
      <c r="A1" s="27" t="s">
        <v>0</v>
      </c>
      <c r="C1" s="2" t="s">
        <v>1</v>
      </c>
      <c r="F1" s="3" t="s">
        <v>2</v>
      </c>
      <c r="H1" s="4" t="s">
        <v>3</v>
      </c>
    </row>
    <row r="2">
      <c r="A2" s="28" t="s">
        <v>4</v>
      </c>
      <c r="B2" s="5" t="s">
        <v>5</v>
      </c>
      <c r="C2" s="6" t="s">
        <v>4</v>
      </c>
      <c r="D2" s="6" t="s">
        <v>5</v>
      </c>
      <c r="F2" s="3" t="s">
        <v>6</v>
      </c>
      <c r="G2" s="3" t="s">
        <v>7</v>
      </c>
      <c r="H2" s="4" t="s">
        <v>6</v>
      </c>
      <c r="I2" s="4" t="s">
        <v>7</v>
      </c>
    </row>
    <row r="3">
      <c r="A3" s="28">
        <v>1200.0</v>
      </c>
      <c r="B3" s="5" t="s">
        <v>8</v>
      </c>
      <c r="C3" s="5">
        <v>1200.0</v>
      </c>
      <c r="D3" s="5" t="s">
        <v>8</v>
      </c>
      <c r="F3" s="3" t="s">
        <v>9</v>
      </c>
      <c r="G3" s="3" t="s">
        <v>10</v>
      </c>
      <c r="H3" s="4" t="s">
        <v>11</v>
      </c>
      <c r="I3" s="4" t="s">
        <v>10</v>
      </c>
    </row>
    <row r="4">
      <c r="A4" s="29"/>
    </row>
    <row r="5">
      <c r="A5" s="30" t="s">
        <v>12</v>
      </c>
    </row>
    <row r="6">
      <c r="A6" s="30" t="s">
        <v>13</v>
      </c>
    </row>
    <row r="7">
      <c r="A7" s="29"/>
      <c r="B7" s="8"/>
      <c r="C7" s="8"/>
    </row>
    <row r="8">
      <c r="A8" s="31" t="s">
        <v>16</v>
      </c>
      <c r="B8" s="9" t="s">
        <v>17</v>
      </c>
      <c r="C8" s="9" t="s">
        <v>18</v>
      </c>
      <c r="D8" s="9" t="s">
        <v>19</v>
      </c>
    </row>
    <row r="9">
      <c r="A9" s="32">
        <v>0.0</v>
      </c>
      <c r="B9" s="11"/>
      <c r="C9" s="10">
        <v>0.2</v>
      </c>
      <c r="D9" s="11">
        <f t="shared" ref="D9:D11" si="1">0.01/SQRT(12)</f>
        <v>0.002886751346</v>
      </c>
      <c r="E9" s="12" t="s">
        <v>20</v>
      </c>
    </row>
    <row r="10">
      <c r="A10" s="32">
        <v>0.003</v>
      </c>
      <c r="B10" s="11"/>
      <c r="C10" s="10">
        <v>6.22</v>
      </c>
      <c r="D10" s="11">
        <f t="shared" si="1"/>
        <v>0.002886751346</v>
      </c>
      <c r="N10" s="9" t="s">
        <v>14</v>
      </c>
      <c r="O10" s="9" t="s">
        <v>15</v>
      </c>
      <c r="P10" s="9" t="s">
        <v>16</v>
      </c>
      <c r="Q10" s="9" t="s">
        <v>17</v>
      </c>
      <c r="R10" s="9" t="s">
        <v>18</v>
      </c>
      <c r="S10" s="9" t="s">
        <v>19</v>
      </c>
    </row>
    <row r="11">
      <c r="A11" s="32">
        <v>0.009</v>
      </c>
      <c r="B11" s="11"/>
      <c r="C11" s="13">
        <v>16.89</v>
      </c>
      <c r="D11" s="11">
        <f t="shared" si="1"/>
        <v>0.002886751346</v>
      </c>
      <c r="N11" s="14">
        <v>0.0</v>
      </c>
      <c r="O11" s="15"/>
      <c r="P11" s="14">
        <v>0.0</v>
      </c>
      <c r="Q11" s="15"/>
      <c r="R11" s="14">
        <v>0.01</v>
      </c>
      <c r="S11" s="15">
        <f t="shared" ref="S11:S14" si="2">0.01/SQRT(12)</f>
        <v>0.002886751346</v>
      </c>
    </row>
    <row r="12">
      <c r="A12" s="32">
        <v>0.032</v>
      </c>
      <c r="B12" s="11"/>
      <c r="C12" s="10">
        <v>60.8</v>
      </c>
      <c r="D12" s="11">
        <f t="shared" ref="D12:D13" si="3">0.1/SQRT(12)</f>
        <v>0.02886751346</v>
      </c>
      <c r="E12" s="12" t="s">
        <v>21</v>
      </c>
      <c r="N12" s="14">
        <v>0.2</v>
      </c>
      <c r="O12" s="15"/>
      <c r="P12" s="14">
        <v>0.008</v>
      </c>
      <c r="Q12" s="15"/>
      <c r="R12" s="14">
        <v>4.07</v>
      </c>
      <c r="S12" s="15">
        <f t="shared" si="2"/>
        <v>0.002886751346</v>
      </c>
    </row>
    <row r="13">
      <c r="A13" s="32">
        <v>0.079</v>
      </c>
      <c r="B13" s="11"/>
      <c r="C13" s="10">
        <v>151.1</v>
      </c>
      <c r="D13" s="11">
        <f t="shared" si="3"/>
        <v>0.02886751346</v>
      </c>
      <c r="N13" s="14">
        <v>0.4</v>
      </c>
      <c r="O13" s="15"/>
      <c r="P13" s="14">
        <v>0.016</v>
      </c>
      <c r="Q13" s="15"/>
      <c r="R13" s="16">
        <v>8.46</v>
      </c>
      <c r="S13" s="15">
        <f t="shared" si="2"/>
        <v>0.002886751346</v>
      </c>
    </row>
    <row r="14">
      <c r="A14" s="32">
        <v>0.108</v>
      </c>
      <c r="B14" s="11"/>
      <c r="C14" s="10">
        <v>205.0</v>
      </c>
      <c r="D14" s="11">
        <f t="shared" ref="D14:D47" si="4">1/SQRT(12)</f>
        <v>0.2886751346</v>
      </c>
      <c r="E14" s="12" t="s">
        <v>22</v>
      </c>
      <c r="N14" s="14">
        <v>0.6</v>
      </c>
      <c r="O14" s="15"/>
      <c r="P14" s="14">
        <v>0.022</v>
      </c>
      <c r="Q14" s="15"/>
      <c r="R14" s="14">
        <v>12.6</v>
      </c>
      <c r="S14" s="15">
        <f t="shared" si="2"/>
        <v>0.002886751346</v>
      </c>
    </row>
    <row r="15">
      <c r="A15" s="32">
        <v>0.15</v>
      </c>
      <c r="B15" s="11"/>
      <c r="C15" s="10">
        <v>286.0</v>
      </c>
      <c r="D15" s="11">
        <f t="shared" si="4"/>
        <v>0.2886751346</v>
      </c>
      <c r="N15" s="14">
        <v>1.1</v>
      </c>
      <c r="O15" s="15"/>
      <c r="P15" s="14">
        <v>0.04</v>
      </c>
      <c r="Q15" s="15"/>
      <c r="R15" s="14">
        <v>28.5</v>
      </c>
      <c r="S15" s="15">
        <f t="shared" ref="S15:S21" si="5">0.1/SQRT(12)</f>
        <v>0.02886751346</v>
      </c>
    </row>
    <row r="16">
      <c r="A16" s="32">
        <v>0.203</v>
      </c>
      <c r="B16" s="18"/>
      <c r="C16" s="10">
        <v>379.0</v>
      </c>
      <c r="D16" s="11">
        <f t="shared" si="4"/>
        <v>0.2886751346</v>
      </c>
      <c r="N16" s="14">
        <v>1.5</v>
      </c>
      <c r="O16" s="15"/>
      <c r="P16" s="14">
        <v>0.05</v>
      </c>
      <c r="Q16" s="15"/>
      <c r="R16" s="14">
        <v>43.5</v>
      </c>
      <c r="S16" s="15">
        <f t="shared" si="5"/>
        <v>0.02886751346</v>
      </c>
    </row>
    <row r="17">
      <c r="A17" s="32">
        <v>0.224</v>
      </c>
      <c r="B17" s="18"/>
      <c r="C17" s="17">
        <v>416.0</v>
      </c>
      <c r="D17" s="11">
        <f t="shared" si="4"/>
        <v>0.2886751346</v>
      </c>
      <c r="N17" s="14">
        <v>1.8</v>
      </c>
      <c r="O17" s="15"/>
      <c r="P17" s="14">
        <v>0.067</v>
      </c>
      <c r="Q17" s="15"/>
      <c r="R17" s="14">
        <v>60.4</v>
      </c>
      <c r="S17" s="15">
        <f t="shared" si="5"/>
        <v>0.02886751346</v>
      </c>
    </row>
    <row r="18">
      <c r="A18" s="32">
        <v>0.246</v>
      </c>
      <c r="B18" s="18"/>
      <c r="C18" s="17">
        <v>452.0</v>
      </c>
      <c r="D18" s="11">
        <f t="shared" si="4"/>
        <v>0.2886751346</v>
      </c>
      <c r="N18" s="14">
        <v>2.2</v>
      </c>
      <c r="O18" s="15"/>
      <c r="P18" s="14">
        <v>0.083</v>
      </c>
      <c r="Q18" s="15"/>
      <c r="R18" s="14">
        <v>111.8</v>
      </c>
      <c r="S18" s="15">
        <f t="shared" si="5"/>
        <v>0.02886751346</v>
      </c>
    </row>
    <row r="19">
      <c r="A19" s="32">
        <v>0.309</v>
      </c>
      <c r="B19" s="18"/>
      <c r="C19" s="17">
        <v>556.0</v>
      </c>
      <c r="D19" s="11">
        <f t="shared" si="4"/>
        <v>0.2886751346</v>
      </c>
      <c r="N19" s="19">
        <v>2.6</v>
      </c>
      <c r="O19" s="20"/>
      <c r="P19" s="19">
        <v>0.106</v>
      </c>
      <c r="Q19" s="20"/>
      <c r="R19" s="19">
        <v>139.2</v>
      </c>
      <c r="S19" s="20">
        <f t="shared" si="5"/>
        <v>0.02886751346</v>
      </c>
    </row>
    <row r="20">
      <c r="A20" s="32">
        <v>0.344</v>
      </c>
      <c r="B20" s="18"/>
      <c r="C20" s="17">
        <v>611.0</v>
      </c>
      <c r="D20" s="11">
        <f t="shared" si="4"/>
        <v>0.2886751346</v>
      </c>
      <c r="N20" s="19">
        <v>3.1</v>
      </c>
      <c r="O20" s="20"/>
      <c r="P20" s="19">
        <v>0.126</v>
      </c>
      <c r="Q20" s="20"/>
      <c r="R20" s="19">
        <v>182.9</v>
      </c>
      <c r="S20" s="20">
        <f t="shared" si="5"/>
        <v>0.02886751346</v>
      </c>
    </row>
    <row r="21">
      <c r="A21" s="32">
        <v>0.39</v>
      </c>
      <c r="B21" s="18"/>
      <c r="C21" s="17">
        <v>680.0</v>
      </c>
      <c r="D21" s="11">
        <f t="shared" si="4"/>
        <v>0.2886751346</v>
      </c>
      <c r="N21" s="19">
        <v>3.7</v>
      </c>
      <c r="O21" s="20"/>
      <c r="P21" s="19">
        <v>0.156</v>
      </c>
      <c r="Q21" s="20"/>
      <c r="R21" s="19">
        <v>231.0</v>
      </c>
      <c r="S21" s="20">
        <f t="shared" si="5"/>
        <v>0.02886751346</v>
      </c>
    </row>
    <row r="22">
      <c r="A22" s="32">
        <v>0.445</v>
      </c>
      <c r="B22" s="18"/>
      <c r="C22" s="17">
        <v>752.0</v>
      </c>
      <c r="D22" s="11">
        <f t="shared" si="4"/>
        <v>0.2886751346</v>
      </c>
      <c r="N22" s="19">
        <v>4.7</v>
      </c>
      <c r="O22" s="20"/>
      <c r="P22" s="19">
        <v>0.195</v>
      </c>
      <c r="Q22" s="20"/>
      <c r="R22" s="19">
        <v>234.0</v>
      </c>
      <c r="S22" s="20">
        <f>1/SQRT(12)</f>
        <v>0.2886751346</v>
      </c>
    </row>
    <row r="23">
      <c r="A23" s="32">
        <v>0.514</v>
      </c>
      <c r="B23" s="18"/>
      <c r="C23" s="17">
        <v>829.0</v>
      </c>
      <c r="D23" s="11">
        <f t="shared" si="4"/>
        <v>0.2886751346</v>
      </c>
    </row>
    <row r="24">
      <c r="A24" s="32">
        <v>0.567</v>
      </c>
      <c r="B24" s="18"/>
      <c r="C24" s="17">
        <v>877.0</v>
      </c>
      <c r="D24" s="11">
        <f t="shared" si="4"/>
        <v>0.2886751346</v>
      </c>
    </row>
    <row r="25">
      <c r="A25" s="32">
        <v>0.614</v>
      </c>
      <c r="B25" s="18"/>
      <c r="C25" s="17">
        <v>911.0</v>
      </c>
      <c r="D25" s="11">
        <f t="shared" si="4"/>
        <v>0.2886751346</v>
      </c>
    </row>
    <row r="26">
      <c r="A26" s="32">
        <v>0.66</v>
      </c>
      <c r="B26" s="18"/>
      <c r="C26" s="17">
        <v>941.0</v>
      </c>
      <c r="D26" s="11">
        <f t="shared" si="4"/>
        <v>0.2886751346</v>
      </c>
    </row>
    <row r="27">
      <c r="A27" s="32">
        <v>0.707</v>
      </c>
      <c r="B27" s="18"/>
      <c r="C27" s="17">
        <v>986.0</v>
      </c>
      <c r="D27" s="11">
        <f t="shared" si="4"/>
        <v>0.2886751346</v>
      </c>
    </row>
    <row r="28">
      <c r="A28" s="32">
        <v>0.761</v>
      </c>
      <c r="B28" s="18"/>
      <c r="C28" s="17">
        <v>995.0</v>
      </c>
      <c r="D28" s="11">
        <f t="shared" si="4"/>
        <v>0.2886751346</v>
      </c>
    </row>
    <row r="29">
      <c r="A29" s="32">
        <v>0.814</v>
      </c>
      <c r="B29" s="18"/>
      <c r="C29" s="17">
        <v>1019.0</v>
      </c>
      <c r="D29" s="11">
        <f t="shared" si="4"/>
        <v>0.2886751346</v>
      </c>
    </row>
    <row r="30">
      <c r="A30" s="32">
        <v>0.858</v>
      </c>
      <c r="B30" s="18"/>
      <c r="C30" s="17">
        <v>1037.0</v>
      </c>
      <c r="D30" s="11">
        <f t="shared" si="4"/>
        <v>0.2886751346</v>
      </c>
    </row>
    <row r="31">
      <c r="A31" s="32">
        <v>0.914</v>
      </c>
      <c r="B31" s="18"/>
      <c r="C31" s="17">
        <v>1057.0</v>
      </c>
      <c r="D31" s="11">
        <f t="shared" si="4"/>
        <v>0.2886751346</v>
      </c>
    </row>
    <row r="32">
      <c r="A32" s="32">
        <v>0.955</v>
      </c>
      <c r="B32" s="18"/>
      <c r="C32" s="17">
        <v>1072.0</v>
      </c>
      <c r="D32" s="11">
        <f t="shared" si="4"/>
        <v>0.2886751346</v>
      </c>
    </row>
    <row r="33">
      <c r="A33" s="33">
        <v>0.999</v>
      </c>
      <c r="B33" s="22"/>
      <c r="C33" s="21">
        <v>1085.0</v>
      </c>
      <c r="D33" s="34">
        <f t="shared" si="4"/>
        <v>0.2886751346</v>
      </c>
    </row>
    <row r="34">
      <c r="A34" s="32">
        <v>0.946</v>
      </c>
      <c r="B34" s="18"/>
      <c r="C34" s="17">
        <v>1071.0</v>
      </c>
      <c r="D34" s="11">
        <f t="shared" si="4"/>
        <v>0.2886751346</v>
      </c>
    </row>
    <row r="35">
      <c r="A35" s="30">
        <v>0.885</v>
      </c>
      <c r="B35" s="18"/>
      <c r="C35" s="17">
        <v>1053.0</v>
      </c>
      <c r="D35" s="11">
        <f t="shared" si="4"/>
        <v>0.2886751346</v>
      </c>
      <c r="G35" s="23" t="s">
        <v>23</v>
      </c>
      <c r="H35" s="23" t="s">
        <v>15</v>
      </c>
      <c r="I35" s="23" t="s">
        <v>24</v>
      </c>
      <c r="J35" s="23" t="s">
        <v>17</v>
      </c>
      <c r="K35" s="23" t="s">
        <v>18</v>
      </c>
      <c r="L35" s="23" t="s">
        <v>19</v>
      </c>
    </row>
    <row r="36">
      <c r="A36" s="32">
        <v>0.826</v>
      </c>
      <c r="B36" s="18"/>
      <c r="C36" s="17">
        <v>1034.0</v>
      </c>
      <c r="D36" s="11">
        <f t="shared" si="4"/>
        <v>0.2886751346</v>
      </c>
      <c r="G36" s="24"/>
      <c r="H36" s="24"/>
      <c r="I36" s="24"/>
      <c r="J36" s="24"/>
      <c r="K36" s="24"/>
      <c r="L36" s="24"/>
    </row>
    <row r="37">
      <c r="A37" s="32">
        <v>0.746</v>
      </c>
      <c r="B37" s="18"/>
      <c r="C37" s="17">
        <v>1003.0</v>
      </c>
      <c r="D37" s="11">
        <f t="shared" si="4"/>
        <v>0.2886751346</v>
      </c>
      <c r="G37" s="24"/>
      <c r="H37" s="24"/>
      <c r="I37" s="24"/>
      <c r="J37" s="24"/>
      <c r="K37" s="24"/>
      <c r="L37" s="24"/>
    </row>
    <row r="38">
      <c r="A38" s="32">
        <v>0.689</v>
      </c>
      <c r="B38" s="18"/>
      <c r="C38" s="17">
        <v>977.0</v>
      </c>
      <c r="D38" s="11">
        <f t="shared" si="4"/>
        <v>0.2886751346</v>
      </c>
      <c r="G38" s="24"/>
      <c r="H38" s="24"/>
      <c r="I38" s="24"/>
      <c r="J38" s="24"/>
      <c r="K38" s="24"/>
      <c r="L38" s="24"/>
    </row>
    <row r="39">
      <c r="A39" s="32">
        <v>0.633</v>
      </c>
      <c r="B39" s="18"/>
      <c r="C39" s="17">
        <v>947.0</v>
      </c>
      <c r="D39" s="11">
        <f t="shared" si="4"/>
        <v>0.2886751346</v>
      </c>
      <c r="G39" s="24"/>
      <c r="H39" s="24"/>
      <c r="I39" s="24"/>
      <c r="J39" s="24"/>
      <c r="K39" s="24"/>
      <c r="L39" s="24"/>
    </row>
    <row r="40">
      <c r="A40" s="32">
        <v>0.572</v>
      </c>
      <c r="B40" s="18"/>
      <c r="C40" s="17">
        <v>906.0</v>
      </c>
      <c r="D40" s="11">
        <f t="shared" si="4"/>
        <v>0.2886751346</v>
      </c>
      <c r="G40" s="24"/>
      <c r="H40" s="24"/>
      <c r="I40" s="24"/>
      <c r="J40" s="24"/>
      <c r="K40" s="24"/>
      <c r="L40" s="24"/>
    </row>
    <row r="41">
      <c r="A41" s="32">
        <v>0.518</v>
      </c>
      <c r="B41" s="18"/>
      <c r="C41" s="17">
        <v>863.0</v>
      </c>
      <c r="D41" s="11">
        <f t="shared" si="4"/>
        <v>0.2886751346</v>
      </c>
      <c r="G41" s="24"/>
      <c r="H41" s="24"/>
      <c r="I41" s="24"/>
      <c r="J41" s="24"/>
      <c r="K41" s="24"/>
      <c r="L41" s="24"/>
    </row>
    <row r="42">
      <c r="A42" s="32">
        <v>0.441</v>
      </c>
      <c r="B42" s="18"/>
      <c r="C42" s="17">
        <v>779.0</v>
      </c>
      <c r="D42" s="11">
        <f t="shared" si="4"/>
        <v>0.2886751346</v>
      </c>
      <c r="G42" s="24"/>
      <c r="H42" s="24"/>
      <c r="I42" s="24"/>
      <c r="J42" s="24"/>
      <c r="K42" s="24"/>
      <c r="L42" s="24"/>
    </row>
    <row r="43">
      <c r="A43" s="32">
        <v>0.381</v>
      </c>
      <c r="B43" s="18"/>
      <c r="C43" s="17">
        <v>698.0</v>
      </c>
      <c r="D43" s="11">
        <f t="shared" si="4"/>
        <v>0.2886751346</v>
      </c>
      <c r="G43" s="24"/>
      <c r="H43" s="24"/>
      <c r="I43" s="24"/>
      <c r="J43" s="24"/>
      <c r="K43" s="24"/>
      <c r="L43" s="24"/>
    </row>
    <row r="44">
      <c r="A44" s="32">
        <v>0.313</v>
      </c>
      <c r="B44" s="18"/>
      <c r="C44" s="17">
        <v>591.0</v>
      </c>
      <c r="D44" s="11">
        <f t="shared" si="4"/>
        <v>0.2886751346</v>
      </c>
      <c r="G44" s="24"/>
      <c r="H44" s="24"/>
      <c r="I44" s="24"/>
      <c r="J44" s="24"/>
      <c r="K44" s="24"/>
      <c r="L44" s="24"/>
    </row>
    <row r="45">
      <c r="A45" s="32">
        <v>0.243</v>
      </c>
      <c r="B45" s="18"/>
      <c r="C45" s="17">
        <v>474.0</v>
      </c>
      <c r="D45" s="11">
        <f t="shared" si="4"/>
        <v>0.2886751346</v>
      </c>
      <c r="G45" s="24"/>
      <c r="H45" s="24"/>
      <c r="I45" s="24"/>
      <c r="J45" s="24"/>
      <c r="K45" s="24"/>
      <c r="L45" s="24"/>
    </row>
    <row r="46">
      <c r="A46" s="32">
        <v>0.182</v>
      </c>
      <c r="B46" s="18"/>
      <c r="C46" s="17">
        <v>363.0</v>
      </c>
      <c r="D46" s="11">
        <f t="shared" si="4"/>
        <v>0.2886751346</v>
      </c>
      <c r="G46" s="24"/>
      <c r="H46" s="24"/>
      <c r="I46" s="24"/>
      <c r="J46" s="24"/>
      <c r="K46" s="24"/>
      <c r="L46" s="24"/>
    </row>
    <row r="47">
      <c r="A47" s="32">
        <v>0.119</v>
      </c>
      <c r="B47" s="18"/>
      <c r="C47" s="17">
        <v>241.0</v>
      </c>
      <c r="D47" s="11">
        <f t="shared" si="4"/>
        <v>0.2886751346</v>
      </c>
      <c r="G47" s="24"/>
      <c r="H47" s="24"/>
      <c r="I47" s="24"/>
      <c r="J47" s="24"/>
      <c r="K47" s="24"/>
      <c r="L47" s="24"/>
    </row>
    <row r="48">
      <c r="A48" s="32">
        <v>0.084</v>
      </c>
      <c r="B48" s="18"/>
      <c r="C48" s="17">
        <v>175.8</v>
      </c>
      <c r="D48" s="11">
        <f t="shared" ref="D48:D51" si="6">0.1/SQRT(12)</f>
        <v>0.02886751346</v>
      </c>
      <c r="G48" s="24"/>
      <c r="H48" s="24"/>
      <c r="I48" s="24"/>
      <c r="J48" s="24"/>
      <c r="K48" s="24"/>
      <c r="L48" s="24"/>
    </row>
    <row r="49">
      <c r="A49" s="32">
        <v>0.011</v>
      </c>
      <c r="B49" s="18"/>
      <c r="C49" s="17">
        <v>37.3</v>
      </c>
      <c r="D49" s="11">
        <f t="shared" si="6"/>
        <v>0.02886751346</v>
      </c>
      <c r="G49" s="24"/>
      <c r="H49" s="24"/>
      <c r="I49" s="24"/>
      <c r="J49" s="24"/>
      <c r="K49" s="24"/>
      <c r="L49" s="24"/>
    </row>
    <row r="50">
      <c r="A50" s="32">
        <v>0.005</v>
      </c>
      <c r="B50" s="18"/>
      <c r="C50" s="17">
        <v>26.5</v>
      </c>
      <c r="D50" s="11">
        <f t="shared" si="6"/>
        <v>0.02886751346</v>
      </c>
      <c r="G50" s="24"/>
      <c r="H50" s="24"/>
      <c r="I50" s="24"/>
      <c r="J50" s="24"/>
      <c r="K50" s="24"/>
      <c r="L50" s="24"/>
    </row>
    <row r="51">
      <c r="A51" s="35">
        <v>0.0</v>
      </c>
      <c r="B51" s="36"/>
      <c r="C51" s="37">
        <v>13.6</v>
      </c>
      <c r="D51" s="38">
        <f t="shared" si="6"/>
        <v>0.02886751346</v>
      </c>
      <c r="G51" s="24"/>
      <c r="H51" s="24"/>
      <c r="I51" s="24"/>
      <c r="J51" s="24"/>
      <c r="K51" s="24"/>
      <c r="L51" s="24"/>
    </row>
    <row r="52">
      <c r="A52" s="32">
        <v>-0.003</v>
      </c>
      <c r="B52" s="18"/>
      <c r="C52" s="17">
        <v>8.92</v>
      </c>
      <c r="D52" s="11">
        <f t="shared" ref="D52:D55" si="7">0.01/SQRT(12)</f>
        <v>0.002886751346</v>
      </c>
      <c r="G52" s="24"/>
      <c r="H52" s="24"/>
      <c r="I52" s="24"/>
      <c r="J52" s="24"/>
      <c r="K52" s="24"/>
      <c r="L52" s="24"/>
    </row>
    <row r="53">
      <c r="A53" s="32">
        <v>-0.007</v>
      </c>
      <c r="B53" s="18"/>
      <c r="C53" s="17">
        <v>0.2</v>
      </c>
      <c r="D53" s="11">
        <f t="shared" si="7"/>
        <v>0.002886751346</v>
      </c>
      <c r="G53" s="24"/>
      <c r="H53" s="24"/>
      <c r="I53" s="24"/>
      <c r="J53" s="24"/>
      <c r="K53" s="24"/>
      <c r="L53" s="24"/>
    </row>
    <row r="54">
      <c r="A54" s="32">
        <v>-0.011</v>
      </c>
      <c r="B54" s="18"/>
      <c r="C54" s="17">
        <v>-6.62</v>
      </c>
      <c r="D54" s="11">
        <f t="shared" si="7"/>
        <v>0.002886751346</v>
      </c>
      <c r="G54" s="24"/>
      <c r="H54" s="24"/>
      <c r="I54" s="24"/>
      <c r="J54" s="24"/>
      <c r="K54" s="24"/>
      <c r="L54" s="24"/>
    </row>
    <row r="55">
      <c r="A55" s="32">
        <v>-0.016</v>
      </c>
      <c r="B55" s="18"/>
      <c r="C55" s="17">
        <v>-16.47</v>
      </c>
      <c r="D55" s="11">
        <f t="shared" si="7"/>
        <v>0.002886751346</v>
      </c>
      <c r="E55" s="12" t="s">
        <v>25</v>
      </c>
    </row>
    <row r="56">
      <c r="A56" s="32">
        <v>-0.031</v>
      </c>
      <c r="B56" s="18"/>
      <c r="C56" s="17">
        <v>-47.1</v>
      </c>
      <c r="D56" s="11">
        <f t="shared" ref="D56:D60" si="8">0.1/SQRT(12)</f>
        <v>0.02886751346</v>
      </c>
    </row>
    <row r="57">
      <c r="A57" s="32">
        <v>-0.037</v>
      </c>
      <c r="B57" s="18"/>
      <c r="C57" s="17">
        <v>-57.8</v>
      </c>
      <c r="D57" s="11">
        <f t="shared" si="8"/>
        <v>0.02886751346</v>
      </c>
    </row>
    <row r="58">
      <c r="A58" s="32">
        <v>-0.062</v>
      </c>
      <c r="B58" s="18"/>
      <c r="C58" s="17">
        <v>-106.7</v>
      </c>
      <c r="D58" s="11">
        <f t="shared" si="8"/>
        <v>0.02886751346</v>
      </c>
    </row>
    <row r="59">
      <c r="A59" s="32">
        <v>-0.078</v>
      </c>
      <c r="B59" s="18"/>
      <c r="C59" s="17">
        <v>-139.3</v>
      </c>
      <c r="D59" s="11">
        <f t="shared" si="8"/>
        <v>0.02886751346</v>
      </c>
    </row>
    <row r="60">
      <c r="A60" s="32">
        <v>-0.103</v>
      </c>
      <c r="B60" s="18"/>
      <c r="C60" s="17">
        <v>-185.5</v>
      </c>
      <c r="D60" s="11">
        <f t="shared" si="8"/>
        <v>0.02886751346</v>
      </c>
    </row>
    <row r="61">
      <c r="A61" s="32">
        <v>-0.185</v>
      </c>
      <c r="B61" s="18"/>
      <c r="C61" s="17">
        <v>-331.0</v>
      </c>
      <c r="D61" s="11">
        <f t="shared" ref="D61:D96" si="9">1/SQRT(12)</f>
        <v>0.2886751346</v>
      </c>
    </row>
    <row r="62">
      <c r="A62" s="32">
        <v>-0.235</v>
      </c>
      <c r="B62" s="18"/>
      <c r="C62" s="17">
        <v>-418.0</v>
      </c>
      <c r="D62" s="11">
        <f t="shared" si="9"/>
        <v>0.2886751346</v>
      </c>
    </row>
    <row r="63">
      <c r="A63" s="32">
        <v>-0.272</v>
      </c>
      <c r="B63" s="18"/>
      <c r="C63" s="17">
        <v>-480.0</v>
      </c>
      <c r="D63" s="11">
        <f t="shared" si="9"/>
        <v>0.2886751346</v>
      </c>
    </row>
    <row r="64">
      <c r="A64" s="32">
        <v>-0.326</v>
      </c>
      <c r="B64" s="18"/>
      <c r="C64" s="17">
        <v>-567.0</v>
      </c>
      <c r="D64" s="11">
        <f t="shared" si="9"/>
        <v>0.2886751346</v>
      </c>
    </row>
    <row r="65">
      <c r="A65" s="32">
        <v>-0.391</v>
      </c>
      <c r="B65" s="18"/>
      <c r="C65" s="17">
        <v>-664.0</v>
      </c>
      <c r="D65" s="11">
        <f t="shared" si="9"/>
        <v>0.2886751346</v>
      </c>
    </row>
    <row r="66">
      <c r="A66" s="32">
        <v>-0.444</v>
      </c>
      <c r="B66" s="18"/>
      <c r="C66" s="17">
        <v>-735.0</v>
      </c>
      <c r="D66" s="11">
        <f t="shared" si="9"/>
        <v>0.2886751346</v>
      </c>
    </row>
    <row r="67">
      <c r="A67" s="32">
        <v>-0.504</v>
      </c>
      <c r="B67" s="18"/>
      <c r="C67" s="17">
        <v>-804.0</v>
      </c>
      <c r="D67" s="11">
        <f t="shared" si="9"/>
        <v>0.2886751346</v>
      </c>
    </row>
    <row r="68">
      <c r="A68" s="32">
        <v>-0.547</v>
      </c>
      <c r="B68" s="18"/>
      <c r="C68" s="17">
        <v>-847.0</v>
      </c>
      <c r="D68" s="11">
        <f t="shared" si="9"/>
        <v>0.2886751346</v>
      </c>
    </row>
    <row r="69">
      <c r="A69" s="32">
        <v>-0.596</v>
      </c>
      <c r="B69" s="18"/>
      <c r="C69" s="17">
        <v>-888.0</v>
      </c>
      <c r="D69" s="11">
        <f t="shared" si="9"/>
        <v>0.2886751346</v>
      </c>
    </row>
    <row r="70">
      <c r="A70" s="32">
        <v>-0.649</v>
      </c>
      <c r="B70" s="18"/>
      <c r="C70" s="17">
        <v>-926.0</v>
      </c>
      <c r="D70" s="11">
        <f t="shared" si="9"/>
        <v>0.2886751346</v>
      </c>
    </row>
    <row r="71">
      <c r="A71" s="32">
        <v>-0.69</v>
      </c>
      <c r="B71" s="18"/>
      <c r="C71" s="17">
        <v>-951.0</v>
      </c>
      <c r="D71" s="11">
        <f t="shared" si="9"/>
        <v>0.2886751346</v>
      </c>
    </row>
    <row r="72">
      <c r="A72" s="32">
        <v>-0.75</v>
      </c>
      <c r="B72" s="18"/>
      <c r="C72" s="17">
        <v>-983.0</v>
      </c>
      <c r="D72" s="11">
        <f t="shared" si="9"/>
        <v>0.2886751346</v>
      </c>
    </row>
    <row r="73">
      <c r="A73" s="32">
        <v>-0.811</v>
      </c>
      <c r="B73" s="18"/>
      <c r="C73" s="17">
        <v>-1010.0</v>
      </c>
      <c r="D73" s="11">
        <f t="shared" si="9"/>
        <v>0.2886751346</v>
      </c>
    </row>
    <row r="74">
      <c r="A74" s="32">
        <v>-0.862</v>
      </c>
      <c r="B74" s="18"/>
      <c r="C74" s="17">
        <v>-1030.0</v>
      </c>
      <c r="D74" s="11">
        <f t="shared" si="9"/>
        <v>0.2886751346</v>
      </c>
    </row>
    <row r="75">
      <c r="A75" s="32">
        <v>-0.911</v>
      </c>
      <c r="B75" s="18"/>
      <c r="C75" s="17">
        <v>-1048.0</v>
      </c>
      <c r="D75" s="11">
        <f t="shared" si="9"/>
        <v>0.2886751346</v>
      </c>
    </row>
    <row r="76">
      <c r="A76" s="32">
        <v>-0.958</v>
      </c>
      <c r="B76" s="18"/>
      <c r="C76" s="17">
        <v>-1064.0</v>
      </c>
      <c r="D76" s="11">
        <f t="shared" si="9"/>
        <v>0.2886751346</v>
      </c>
    </row>
    <row r="77">
      <c r="A77" s="33">
        <v>-0.999</v>
      </c>
      <c r="B77" s="22"/>
      <c r="C77" s="21">
        <v>-1076.0</v>
      </c>
      <c r="D77" s="34">
        <f t="shared" si="9"/>
        <v>0.2886751346</v>
      </c>
    </row>
    <row r="78">
      <c r="A78" s="32">
        <v>-0.948</v>
      </c>
      <c r="B78" s="18"/>
      <c r="C78" s="17">
        <v>-1064.0</v>
      </c>
      <c r="D78" s="11">
        <f t="shared" si="9"/>
        <v>0.2886751346</v>
      </c>
    </row>
    <row r="79">
      <c r="A79" s="32">
        <v>-0.897</v>
      </c>
      <c r="B79" s="18"/>
      <c r="C79" s="17">
        <v>-1049.0</v>
      </c>
      <c r="D79" s="11">
        <f t="shared" si="9"/>
        <v>0.2886751346</v>
      </c>
    </row>
    <row r="80">
      <c r="A80" s="32">
        <v>-0.85</v>
      </c>
      <c r="B80" s="18"/>
      <c r="C80" s="17">
        <v>-1034.0</v>
      </c>
      <c r="D80" s="11">
        <f t="shared" si="9"/>
        <v>0.2886751346</v>
      </c>
    </row>
    <row r="81">
      <c r="A81" s="32">
        <v>-0.797</v>
      </c>
      <c r="B81" s="18"/>
      <c r="C81" s="17">
        <v>-1015.0</v>
      </c>
      <c r="D81" s="11">
        <f t="shared" si="9"/>
        <v>0.2886751346</v>
      </c>
    </row>
    <row r="82">
      <c r="A82" s="32">
        <v>-0.731</v>
      </c>
      <c r="B82" s="18"/>
      <c r="C82" s="17">
        <v>-989.0</v>
      </c>
      <c r="D82" s="11">
        <f t="shared" si="9"/>
        <v>0.2886751346</v>
      </c>
    </row>
    <row r="83">
      <c r="A83" s="32">
        <v>-0.685</v>
      </c>
      <c r="B83" s="18"/>
      <c r="C83" s="17">
        <v>-967.0</v>
      </c>
      <c r="D83" s="11">
        <f t="shared" si="9"/>
        <v>0.2886751346</v>
      </c>
    </row>
    <row r="84">
      <c r="A84" s="32">
        <v>-0.634</v>
      </c>
      <c r="B84" s="18"/>
      <c r="C84" s="17">
        <v>-940.0</v>
      </c>
      <c r="D84" s="11">
        <f t="shared" si="9"/>
        <v>0.2886751346</v>
      </c>
    </row>
    <row r="85">
      <c r="A85" s="32">
        <v>-0.581</v>
      </c>
      <c r="B85" s="18"/>
      <c r="C85" s="17">
        <v>-906.0</v>
      </c>
      <c r="D85" s="11">
        <f t="shared" si="9"/>
        <v>0.2886751346</v>
      </c>
    </row>
    <row r="86">
      <c r="A86" s="32">
        <v>-0.534</v>
      </c>
      <c r="B86" s="18"/>
      <c r="C86" s="17">
        <v>-869.0</v>
      </c>
      <c r="D86" s="11">
        <f t="shared" si="9"/>
        <v>0.2886751346</v>
      </c>
    </row>
    <row r="87">
      <c r="A87" s="32">
        <v>-0.484</v>
      </c>
      <c r="B87" s="18"/>
      <c r="C87" s="17">
        <v>-822.0</v>
      </c>
      <c r="D87" s="11">
        <f t="shared" si="9"/>
        <v>0.2886751346</v>
      </c>
    </row>
    <row r="88">
      <c r="A88" s="32">
        <v>-0.411</v>
      </c>
      <c r="B88" s="18"/>
      <c r="C88" s="17">
        <v>-733.0</v>
      </c>
      <c r="D88" s="11">
        <f t="shared" si="9"/>
        <v>0.2886751346</v>
      </c>
    </row>
    <row r="89">
      <c r="A89" s="32">
        <v>-0.36</v>
      </c>
      <c r="B89" s="18"/>
      <c r="C89" s="17">
        <v>-658.0</v>
      </c>
      <c r="D89" s="11">
        <f t="shared" si="9"/>
        <v>0.2886751346</v>
      </c>
    </row>
    <row r="90">
      <c r="A90" s="32">
        <v>-0.302</v>
      </c>
      <c r="B90" s="18"/>
      <c r="C90" s="17">
        <v>-567.0</v>
      </c>
      <c r="D90" s="11">
        <f t="shared" si="9"/>
        <v>0.2886751346</v>
      </c>
    </row>
    <row r="91">
      <c r="A91" s="32">
        <v>-0.256</v>
      </c>
      <c r="B91" s="18"/>
      <c r="C91" s="17">
        <v>-484.0</v>
      </c>
      <c r="D91" s="11">
        <f t="shared" si="9"/>
        <v>0.2886751346</v>
      </c>
    </row>
    <row r="92">
      <c r="A92" s="32">
        <v>-0.198</v>
      </c>
      <c r="B92" s="18"/>
      <c r="C92" s="17">
        <v>-384.0</v>
      </c>
      <c r="D92" s="11">
        <f t="shared" si="9"/>
        <v>0.2886751346</v>
      </c>
    </row>
    <row r="93">
      <c r="A93" s="32">
        <v>-0.161</v>
      </c>
      <c r="B93" s="18"/>
      <c r="C93" s="17">
        <v>-318.0</v>
      </c>
      <c r="D93" s="11">
        <f t="shared" si="9"/>
        <v>0.2886751346</v>
      </c>
    </row>
    <row r="94">
      <c r="A94" s="32">
        <v>-0.13</v>
      </c>
      <c r="B94" s="18"/>
      <c r="C94" s="17">
        <v>-257.0</v>
      </c>
      <c r="D94" s="11">
        <f t="shared" si="9"/>
        <v>0.2886751346</v>
      </c>
    </row>
    <row r="95">
      <c r="A95" s="32">
        <v>-0.094</v>
      </c>
      <c r="B95" s="18"/>
      <c r="C95" s="17">
        <v>-191.0</v>
      </c>
      <c r="D95" s="11">
        <f t="shared" si="9"/>
        <v>0.2886751346</v>
      </c>
    </row>
    <row r="96">
      <c r="A96" s="32">
        <v>-0.054</v>
      </c>
      <c r="B96" s="18"/>
      <c r="C96" s="17">
        <v>-111.0</v>
      </c>
      <c r="D96" s="11">
        <f t="shared" si="9"/>
        <v>0.2886751346</v>
      </c>
    </row>
    <row r="97">
      <c r="A97" s="32">
        <v>-0.028</v>
      </c>
      <c r="B97" s="18"/>
      <c r="C97" s="17">
        <v>-63.3</v>
      </c>
      <c r="D97" s="11">
        <f t="shared" ref="D97:D99" si="10">0.1/SQRT(12)</f>
        <v>0.02886751346</v>
      </c>
    </row>
    <row r="98">
      <c r="A98" s="32">
        <v>-0.016</v>
      </c>
      <c r="B98" s="18"/>
      <c r="C98" s="17">
        <v>-39.3</v>
      </c>
      <c r="D98" s="11">
        <f t="shared" si="10"/>
        <v>0.02886751346</v>
      </c>
    </row>
    <row r="99">
      <c r="A99" s="32">
        <v>-0.006</v>
      </c>
      <c r="B99" s="18"/>
      <c r="C99" s="17">
        <v>-21.3</v>
      </c>
      <c r="D99" s="11">
        <f t="shared" si="10"/>
        <v>0.02886751346</v>
      </c>
    </row>
    <row r="100">
      <c r="A100" s="32">
        <v>-0.003</v>
      </c>
      <c r="B100" s="18"/>
      <c r="C100" s="17">
        <v>-14.8</v>
      </c>
      <c r="D100" s="11">
        <f t="shared" ref="D100:D104" si="11">0.01/SQRT(12)</f>
        <v>0.002886751346</v>
      </c>
    </row>
    <row r="101">
      <c r="A101" s="39">
        <v>0.0</v>
      </c>
      <c r="B101" s="40"/>
      <c r="C101" s="41">
        <v>-7.73</v>
      </c>
      <c r="D101" s="42">
        <f t="shared" si="11"/>
        <v>0.002886751346</v>
      </c>
    </row>
    <row r="102">
      <c r="A102" s="32">
        <v>0.003</v>
      </c>
      <c r="B102" s="18"/>
      <c r="C102" s="17">
        <v>-1.66</v>
      </c>
      <c r="D102" s="11">
        <f t="shared" si="11"/>
        <v>0.002886751346</v>
      </c>
    </row>
    <row r="103">
      <c r="A103" s="32">
        <v>0.009</v>
      </c>
      <c r="B103" s="18"/>
      <c r="C103" s="17">
        <v>9.3</v>
      </c>
      <c r="D103" s="11">
        <f t="shared" si="11"/>
        <v>0.002886751346</v>
      </c>
    </row>
    <row r="104">
      <c r="A104" s="32">
        <v>0.012</v>
      </c>
      <c r="B104" s="18"/>
      <c r="C104" s="17">
        <v>17.72</v>
      </c>
      <c r="D104" s="11">
        <f t="shared" si="11"/>
        <v>0.002886751346</v>
      </c>
    </row>
    <row r="105">
      <c r="A105" s="32">
        <v>0.017</v>
      </c>
      <c r="B105" s="18"/>
      <c r="C105" s="17">
        <v>24.0</v>
      </c>
      <c r="D105" s="11">
        <f t="shared" ref="D105:D108" si="12">0.1/SQRT(12)</f>
        <v>0.02886751346</v>
      </c>
    </row>
    <row r="106">
      <c r="A106" s="32">
        <v>0.047</v>
      </c>
      <c r="B106" s="18"/>
      <c r="C106" s="17">
        <v>80.8</v>
      </c>
      <c r="D106" s="11">
        <f t="shared" si="12"/>
        <v>0.02886751346</v>
      </c>
    </row>
    <row r="107">
      <c r="A107" s="32">
        <v>0.064</v>
      </c>
      <c r="B107" s="18"/>
      <c r="C107" s="17">
        <v>113.4</v>
      </c>
      <c r="D107" s="11">
        <f t="shared" si="12"/>
        <v>0.02886751346</v>
      </c>
    </row>
    <row r="108">
      <c r="A108" s="32">
        <v>0.097</v>
      </c>
      <c r="B108" s="18"/>
      <c r="C108" s="17">
        <v>175.5</v>
      </c>
      <c r="D108" s="11">
        <f t="shared" si="12"/>
        <v>0.02886751346</v>
      </c>
    </row>
    <row r="109">
      <c r="A109" s="32">
        <v>0.128</v>
      </c>
      <c r="B109" s="18"/>
      <c r="C109" s="17">
        <v>242.0</v>
      </c>
      <c r="D109" s="11">
        <f t="shared" ref="D109:D132" si="13">1/SQRT(12)</f>
        <v>0.2886751346</v>
      </c>
    </row>
    <row r="110">
      <c r="A110" s="32">
        <v>0.164</v>
      </c>
      <c r="B110" s="18"/>
      <c r="C110" s="17">
        <v>308.0</v>
      </c>
      <c r="D110" s="11">
        <f t="shared" si="13"/>
        <v>0.2886751346</v>
      </c>
    </row>
    <row r="111">
      <c r="A111" s="32">
        <v>0.191</v>
      </c>
      <c r="B111" s="18"/>
      <c r="C111" s="17">
        <v>358.0</v>
      </c>
      <c r="D111" s="11">
        <f t="shared" si="13"/>
        <v>0.2886751346</v>
      </c>
    </row>
    <row r="112">
      <c r="A112" s="32">
        <v>0.222</v>
      </c>
      <c r="B112" s="18"/>
      <c r="C112" s="17">
        <v>415.0</v>
      </c>
      <c r="D112" s="11">
        <f t="shared" si="13"/>
        <v>0.2886751346</v>
      </c>
    </row>
    <row r="113">
      <c r="A113" s="32">
        <v>0.251</v>
      </c>
      <c r="B113" s="18"/>
      <c r="C113" s="17">
        <v>466.0</v>
      </c>
      <c r="D113" s="11">
        <f t="shared" si="13"/>
        <v>0.2886751346</v>
      </c>
    </row>
    <row r="114">
      <c r="A114" s="32">
        <v>0.268</v>
      </c>
      <c r="B114" s="18"/>
      <c r="C114" s="17">
        <v>496.0</v>
      </c>
      <c r="D114" s="11">
        <f t="shared" si="13"/>
        <v>0.2886751346</v>
      </c>
    </row>
    <row r="115">
      <c r="A115" s="32">
        <v>0.296</v>
      </c>
      <c r="B115" s="18"/>
      <c r="C115" s="17">
        <v>540.0</v>
      </c>
      <c r="D115" s="11">
        <f t="shared" si="13"/>
        <v>0.2886751346</v>
      </c>
    </row>
    <row r="116">
      <c r="A116" s="32">
        <v>0.344</v>
      </c>
      <c r="B116" s="18"/>
      <c r="C116" s="17">
        <v>617.0</v>
      </c>
      <c r="D116" s="11">
        <f t="shared" si="13"/>
        <v>0.2886751346</v>
      </c>
    </row>
    <row r="117">
      <c r="A117" s="32">
        <v>0.385</v>
      </c>
      <c r="B117" s="18"/>
      <c r="C117" s="17">
        <v>680.0</v>
      </c>
      <c r="D117" s="11">
        <f t="shared" si="13"/>
        <v>0.2886751346</v>
      </c>
    </row>
    <row r="118">
      <c r="A118" s="32">
        <v>0.424</v>
      </c>
      <c r="B118" s="18"/>
      <c r="C118" s="17">
        <v>735.0</v>
      </c>
      <c r="D118" s="11">
        <f t="shared" si="13"/>
        <v>0.2886751346</v>
      </c>
    </row>
    <row r="119">
      <c r="A119" s="32">
        <v>0.471</v>
      </c>
      <c r="B119" s="18"/>
      <c r="C119" s="17">
        <v>796.0</v>
      </c>
      <c r="D119" s="11">
        <f t="shared" si="13"/>
        <v>0.2886751346</v>
      </c>
    </row>
    <row r="120">
      <c r="A120" s="32">
        <v>0.514</v>
      </c>
      <c r="B120" s="18"/>
      <c r="C120" s="17">
        <v>846.0</v>
      </c>
      <c r="D120" s="11">
        <f t="shared" si="13"/>
        <v>0.2886751346</v>
      </c>
    </row>
    <row r="121">
      <c r="A121" s="32">
        <v>0.553</v>
      </c>
      <c r="B121" s="18"/>
      <c r="C121" s="17">
        <v>885.0</v>
      </c>
      <c r="D121" s="11">
        <f t="shared" si="13"/>
        <v>0.2886751346</v>
      </c>
    </row>
    <row r="122">
      <c r="A122" s="32">
        <v>0.595</v>
      </c>
      <c r="B122" s="18"/>
      <c r="C122" s="17">
        <v>921.0</v>
      </c>
      <c r="D122" s="11">
        <f t="shared" si="13"/>
        <v>0.2886751346</v>
      </c>
    </row>
    <row r="123">
      <c r="A123" s="32">
        <v>0.647</v>
      </c>
      <c r="B123" s="18"/>
      <c r="C123" s="17">
        <v>958.0</v>
      </c>
      <c r="D123" s="11">
        <f t="shared" si="13"/>
        <v>0.2886751346</v>
      </c>
    </row>
    <row r="124">
      <c r="A124" s="32">
        <v>0.691</v>
      </c>
      <c r="B124" s="18"/>
      <c r="C124" s="17">
        <v>986.0</v>
      </c>
      <c r="D124" s="11">
        <f t="shared" si="13"/>
        <v>0.2886751346</v>
      </c>
    </row>
    <row r="125">
      <c r="A125" s="32">
        <v>0.745</v>
      </c>
      <c r="B125" s="18"/>
      <c r="C125" s="17">
        <v>1016.0</v>
      </c>
      <c r="D125" s="11">
        <f t="shared" si="13"/>
        <v>0.2886751346</v>
      </c>
    </row>
    <row r="126">
      <c r="A126" s="32">
        <v>0.793</v>
      </c>
      <c r="B126" s="18"/>
      <c r="C126" s="17">
        <v>1038.0</v>
      </c>
      <c r="D126" s="11">
        <f t="shared" si="13"/>
        <v>0.2886751346</v>
      </c>
    </row>
    <row r="127">
      <c r="A127" s="32">
        <v>0.85</v>
      </c>
      <c r="B127" s="18"/>
      <c r="C127" s="17">
        <v>1062.0</v>
      </c>
      <c r="D127" s="11">
        <f t="shared" si="13"/>
        <v>0.2886751346</v>
      </c>
    </row>
    <row r="128">
      <c r="A128" s="32">
        <v>0.885</v>
      </c>
      <c r="B128" s="18"/>
      <c r="C128" s="17">
        <v>1075.0</v>
      </c>
      <c r="D128" s="11">
        <f t="shared" si="13"/>
        <v>0.2886751346</v>
      </c>
    </row>
    <row r="129">
      <c r="A129" s="32">
        <v>0.908</v>
      </c>
      <c r="B129" s="18"/>
      <c r="C129" s="17">
        <v>1083.0</v>
      </c>
      <c r="D129" s="11">
        <f t="shared" si="13"/>
        <v>0.2886751346</v>
      </c>
    </row>
    <row r="130">
      <c r="A130" s="32">
        <v>0.932</v>
      </c>
      <c r="B130" s="18"/>
      <c r="C130" s="17">
        <v>1091.0</v>
      </c>
      <c r="D130" s="11">
        <f t="shared" si="13"/>
        <v>0.2886751346</v>
      </c>
    </row>
    <row r="131">
      <c r="A131" s="32">
        <v>0.962</v>
      </c>
      <c r="B131" s="18"/>
      <c r="C131" s="17">
        <v>1100.0</v>
      </c>
      <c r="D131" s="11">
        <f t="shared" si="13"/>
        <v>0.2886751346</v>
      </c>
    </row>
    <row r="132">
      <c r="A132" s="32">
        <v>0.999</v>
      </c>
      <c r="B132" s="18"/>
      <c r="C132" s="17">
        <v>1110.0</v>
      </c>
      <c r="D132" s="11">
        <f t="shared" si="13"/>
        <v>0.2886751346</v>
      </c>
    </row>
    <row r="133">
      <c r="B133" s="43"/>
      <c r="C133" s="44"/>
      <c r="D133" s="45"/>
    </row>
    <row r="134">
      <c r="B134" s="43"/>
      <c r="C134" s="44"/>
      <c r="D134" s="45"/>
    </row>
    <row r="135">
      <c r="A135" s="46"/>
      <c r="B135" s="43"/>
      <c r="C135" s="44"/>
      <c r="D135" s="45"/>
    </row>
    <row r="136">
      <c r="A136" s="46"/>
      <c r="B136" s="43"/>
      <c r="C136" s="44"/>
      <c r="D136" s="45"/>
    </row>
    <row r="137">
      <c r="A137" s="46"/>
      <c r="B137" s="43"/>
      <c r="C137" s="44"/>
      <c r="D137" s="45"/>
    </row>
    <row r="138">
      <c r="A138" s="46"/>
      <c r="B138" s="43"/>
      <c r="C138" s="44"/>
      <c r="D138" s="45"/>
    </row>
    <row r="139">
      <c r="A139" s="46"/>
      <c r="B139" s="43"/>
      <c r="C139" s="44"/>
      <c r="D139" s="45"/>
    </row>
    <row r="140">
      <c r="A140" s="46"/>
      <c r="B140" s="43"/>
      <c r="C140" s="44"/>
      <c r="D140" s="45"/>
    </row>
    <row r="141">
      <c r="A141" s="46"/>
      <c r="B141" s="43"/>
      <c r="C141" s="44"/>
      <c r="D141" s="45"/>
    </row>
    <row r="142">
      <c r="A142" s="46"/>
      <c r="B142" s="43"/>
      <c r="C142" s="44"/>
      <c r="D142" s="45"/>
    </row>
    <row r="143">
      <c r="A143" s="46"/>
      <c r="B143" s="43"/>
      <c r="C143" s="44"/>
      <c r="D143" s="45"/>
    </row>
    <row r="144">
      <c r="A144" s="46"/>
      <c r="B144" s="43"/>
      <c r="C144" s="44"/>
      <c r="D144" s="45"/>
    </row>
    <row r="145">
      <c r="A145" s="46"/>
      <c r="B145" s="43"/>
      <c r="C145" s="44"/>
      <c r="D145" s="45"/>
    </row>
    <row r="146">
      <c r="A146" s="46"/>
      <c r="B146" s="43"/>
      <c r="C146" s="44"/>
      <c r="D146" s="45"/>
    </row>
    <row r="147">
      <c r="A147" s="46"/>
      <c r="B147" s="43"/>
      <c r="C147" s="44"/>
      <c r="D147" s="45"/>
    </row>
    <row r="148">
      <c r="A148" s="46"/>
      <c r="B148" s="43"/>
      <c r="C148" s="44"/>
      <c r="D148" s="45"/>
    </row>
    <row r="149">
      <c r="A149" s="46"/>
      <c r="B149" s="43"/>
      <c r="C149" s="44"/>
      <c r="D149" s="45"/>
    </row>
    <row r="150">
      <c r="A150" s="46"/>
      <c r="B150" s="43"/>
      <c r="C150" s="44"/>
      <c r="D150" s="45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16</v>
      </c>
      <c r="B1" s="9" t="s">
        <v>17</v>
      </c>
      <c r="C1" s="9" t="s">
        <v>18</v>
      </c>
      <c r="D1" s="9" t="s">
        <v>19</v>
      </c>
    </row>
    <row r="2">
      <c r="A2" s="32">
        <v>0.0</v>
      </c>
      <c r="B2" s="11"/>
      <c r="C2" s="10">
        <v>0.2</v>
      </c>
      <c r="D2" s="11">
        <f t="shared" ref="D2:D4" si="1">0.01/SQRT(12)</f>
        <v>0.002886751346</v>
      </c>
    </row>
    <row r="3">
      <c r="A3" s="32">
        <v>0.003</v>
      </c>
      <c r="B3" s="11"/>
      <c r="C3" s="10">
        <v>6.22</v>
      </c>
      <c r="D3" s="11">
        <f t="shared" si="1"/>
        <v>0.002886751346</v>
      </c>
    </row>
    <row r="4">
      <c r="A4" s="32">
        <v>0.009</v>
      </c>
      <c r="B4" s="11"/>
      <c r="C4" s="13">
        <v>16.89</v>
      </c>
      <c r="D4" s="11">
        <f t="shared" si="1"/>
        <v>0.002886751346</v>
      </c>
    </row>
    <row r="5">
      <c r="A5" s="32">
        <v>0.032</v>
      </c>
      <c r="B5" s="11"/>
      <c r="C5" s="10">
        <v>60.8</v>
      </c>
      <c r="D5" s="11">
        <f t="shared" ref="D5:D6" si="2">0.1/SQRT(12)</f>
        <v>0.02886751346</v>
      </c>
    </row>
    <row r="6">
      <c r="A6" s="32">
        <v>0.079</v>
      </c>
      <c r="B6" s="11"/>
      <c r="C6" s="10">
        <v>151.1</v>
      </c>
      <c r="D6" s="11">
        <f t="shared" si="2"/>
        <v>0.02886751346</v>
      </c>
    </row>
    <row r="7">
      <c r="A7" s="32">
        <v>0.108</v>
      </c>
      <c r="B7" s="11"/>
      <c r="C7" s="10">
        <v>205.0</v>
      </c>
      <c r="D7" s="11">
        <f t="shared" ref="D7:D40" si="3">1/SQRT(12)</f>
        <v>0.2886751346</v>
      </c>
    </row>
    <row r="8">
      <c r="A8" s="32">
        <v>0.15</v>
      </c>
      <c r="B8" s="11"/>
      <c r="C8" s="10">
        <v>286.0</v>
      </c>
      <c r="D8" s="11">
        <f t="shared" si="3"/>
        <v>0.2886751346</v>
      </c>
    </row>
    <row r="9">
      <c r="A9" s="32">
        <v>0.203</v>
      </c>
      <c r="B9" s="18"/>
      <c r="C9" s="10">
        <v>379.0</v>
      </c>
      <c r="D9" s="11">
        <f t="shared" si="3"/>
        <v>0.2886751346</v>
      </c>
    </row>
    <row r="10">
      <c r="A10" s="32">
        <v>0.224</v>
      </c>
      <c r="B10" s="18"/>
      <c r="C10" s="17">
        <v>416.0</v>
      </c>
      <c r="D10" s="11">
        <f t="shared" si="3"/>
        <v>0.2886751346</v>
      </c>
    </row>
    <row r="11">
      <c r="A11" s="32">
        <v>0.246</v>
      </c>
      <c r="B11" s="18"/>
      <c r="C11" s="17">
        <v>452.0</v>
      </c>
      <c r="D11" s="11">
        <f t="shared" si="3"/>
        <v>0.2886751346</v>
      </c>
    </row>
    <row r="12">
      <c r="A12" s="32">
        <v>0.309</v>
      </c>
      <c r="B12" s="18"/>
      <c r="C12" s="17">
        <v>556.0</v>
      </c>
      <c r="D12" s="11">
        <f t="shared" si="3"/>
        <v>0.2886751346</v>
      </c>
    </row>
    <row r="13">
      <c r="A13" s="32">
        <v>0.344</v>
      </c>
      <c r="B13" s="18"/>
      <c r="C13" s="17">
        <v>611.0</v>
      </c>
      <c r="D13" s="11">
        <f t="shared" si="3"/>
        <v>0.2886751346</v>
      </c>
    </row>
    <row r="14">
      <c r="A14" s="32">
        <v>0.39</v>
      </c>
      <c r="B14" s="18"/>
      <c r="C14" s="17">
        <v>680.0</v>
      </c>
      <c r="D14" s="11">
        <f t="shared" si="3"/>
        <v>0.2886751346</v>
      </c>
    </row>
    <row r="15">
      <c r="A15" s="32">
        <v>0.445</v>
      </c>
      <c r="B15" s="18"/>
      <c r="C15" s="17">
        <v>752.0</v>
      </c>
      <c r="D15" s="11">
        <f t="shared" si="3"/>
        <v>0.2886751346</v>
      </c>
    </row>
    <row r="16">
      <c r="A16" s="32">
        <v>0.514</v>
      </c>
      <c r="B16" s="18"/>
      <c r="C16" s="17">
        <v>829.0</v>
      </c>
      <c r="D16" s="11">
        <f t="shared" si="3"/>
        <v>0.2886751346</v>
      </c>
    </row>
    <row r="17">
      <c r="A17" s="32">
        <v>0.567</v>
      </c>
      <c r="B17" s="18"/>
      <c r="C17" s="17">
        <v>877.0</v>
      </c>
      <c r="D17" s="11">
        <f t="shared" si="3"/>
        <v>0.2886751346</v>
      </c>
    </row>
    <row r="18">
      <c r="A18" s="32">
        <v>0.614</v>
      </c>
      <c r="B18" s="18"/>
      <c r="C18" s="17">
        <v>911.0</v>
      </c>
      <c r="D18" s="11">
        <f t="shared" si="3"/>
        <v>0.2886751346</v>
      </c>
    </row>
    <row r="19">
      <c r="A19" s="32">
        <v>0.66</v>
      </c>
      <c r="B19" s="18"/>
      <c r="C19" s="17">
        <v>941.0</v>
      </c>
      <c r="D19" s="11">
        <f t="shared" si="3"/>
        <v>0.2886751346</v>
      </c>
    </row>
    <row r="20">
      <c r="A20" s="32">
        <v>0.707</v>
      </c>
      <c r="B20" s="18"/>
      <c r="C20" s="17">
        <v>986.0</v>
      </c>
      <c r="D20" s="11">
        <f t="shared" si="3"/>
        <v>0.2886751346</v>
      </c>
    </row>
    <row r="21">
      <c r="A21" s="32">
        <v>0.761</v>
      </c>
      <c r="B21" s="18"/>
      <c r="C21" s="17">
        <v>995.0</v>
      </c>
      <c r="D21" s="11">
        <f t="shared" si="3"/>
        <v>0.2886751346</v>
      </c>
    </row>
    <row r="22">
      <c r="A22" s="32">
        <v>0.814</v>
      </c>
      <c r="B22" s="18"/>
      <c r="C22" s="17">
        <v>1019.0</v>
      </c>
      <c r="D22" s="11">
        <f t="shared" si="3"/>
        <v>0.2886751346</v>
      </c>
    </row>
    <row r="23">
      <c r="A23" s="32">
        <v>0.858</v>
      </c>
      <c r="B23" s="18"/>
      <c r="C23" s="17">
        <v>1037.0</v>
      </c>
      <c r="D23" s="11">
        <f t="shared" si="3"/>
        <v>0.2886751346</v>
      </c>
    </row>
    <row r="24">
      <c r="A24" s="32">
        <v>0.914</v>
      </c>
      <c r="B24" s="18"/>
      <c r="C24" s="17">
        <v>1057.0</v>
      </c>
      <c r="D24" s="11">
        <f t="shared" si="3"/>
        <v>0.2886751346</v>
      </c>
    </row>
    <row r="25">
      <c r="A25" s="32">
        <v>0.955</v>
      </c>
      <c r="B25" s="18"/>
      <c r="C25" s="17">
        <v>1072.0</v>
      </c>
      <c r="D25" s="11">
        <f t="shared" si="3"/>
        <v>0.2886751346</v>
      </c>
    </row>
    <row r="26">
      <c r="A26" s="33">
        <v>0.999</v>
      </c>
      <c r="B26" s="22"/>
      <c r="C26" s="21">
        <v>1085.0</v>
      </c>
      <c r="D26" s="34">
        <f t="shared" si="3"/>
        <v>0.2886751346</v>
      </c>
    </row>
    <row r="27">
      <c r="A27" s="32">
        <v>0.946</v>
      </c>
      <c r="B27" s="18"/>
      <c r="C27" s="17">
        <v>1071.0</v>
      </c>
      <c r="D27" s="11">
        <f t="shared" si="3"/>
        <v>0.2886751346</v>
      </c>
    </row>
    <row r="28">
      <c r="A28" s="30">
        <v>0.885</v>
      </c>
      <c r="B28" s="18"/>
      <c r="C28" s="17">
        <v>1053.0</v>
      </c>
      <c r="D28" s="11">
        <f t="shared" si="3"/>
        <v>0.2886751346</v>
      </c>
    </row>
    <row r="29">
      <c r="A29" s="32">
        <v>0.826</v>
      </c>
      <c r="B29" s="18"/>
      <c r="C29" s="17">
        <v>1034.0</v>
      </c>
      <c r="D29" s="11">
        <f t="shared" si="3"/>
        <v>0.2886751346</v>
      </c>
    </row>
    <row r="30">
      <c r="A30" s="32">
        <v>0.746</v>
      </c>
      <c r="B30" s="18"/>
      <c r="C30" s="17">
        <v>1003.0</v>
      </c>
      <c r="D30" s="11">
        <f t="shared" si="3"/>
        <v>0.2886751346</v>
      </c>
    </row>
    <row r="31">
      <c r="A31" s="32">
        <v>0.689</v>
      </c>
      <c r="B31" s="18"/>
      <c r="C31" s="17">
        <v>977.0</v>
      </c>
      <c r="D31" s="11">
        <f t="shared" si="3"/>
        <v>0.2886751346</v>
      </c>
    </row>
    <row r="32">
      <c r="A32" s="32">
        <v>0.633</v>
      </c>
      <c r="B32" s="18"/>
      <c r="C32" s="17">
        <v>947.0</v>
      </c>
      <c r="D32" s="11">
        <f t="shared" si="3"/>
        <v>0.2886751346</v>
      </c>
    </row>
    <row r="33">
      <c r="A33" s="32">
        <v>0.572</v>
      </c>
      <c r="B33" s="18"/>
      <c r="C33" s="17">
        <v>906.0</v>
      </c>
      <c r="D33" s="11">
        <f t="shared" si="3"/>
        <v>0.2886751346</v>
      </c>
    </row>
    <row r="34">
      <c r="A34" s="32">
        <v>0.518</v>
      </c>
      <c r="B34" s="18"/>
      <c r="C34" s="17">
        <v>863.0</v>
      </c>
      <c r="D34" s="11">
        <f t="shared" si="3"/>
        <v>0.2886751346</v>
      </c>
    </row>
    <row r="35">
      <c r="A35" s="32">
        <v>0.441</v>
      </c>
      <c r="B35" s="18"/>
      <c r="C35" s="17">
        <v>779.0</v>
      </c>
      <c r="D35" s="11">
        <f t="shared" si="3"/>
        <v>0.2886751346</v>
      </c>
    </row>
    <row r="36">
      <c r="A36" s="32">
        <v>0.381</v>
      </c>
      <c r="B36" s="18"/>
      <c r="C36" s="17">
        <v>698.0</v>
      </c>
      <c r="D36" s="11">
        <f t="shared" si="3"/>
        <v>0.2886751346</v>
      </c>
    </row>
    <row r="37">
      <c r="A37" s="32">
        <v>0.313</v>
      </c>
      <c r="B37" s="18"/>
      <c r="C37" s="17">
        <v>591.0</v>
      </c>
      <c r="D37" s="11">
        <f t="shared" si="3"/>
        <v>0.2886751346</v>
      </c>
    </row>
    <row r="38">
      <c r="A38" s="32">
        <v>0.243</v>
      </c>
      <c r="B38" s="18"/>
      <c r="C38" s="17">
        <v>474.0</v>
      </c>
      <c r="D38" s="11">
        <f t="shared" si="3"/>
        <v>0.2886751346</v>
      </c>
    </row>
    <row r="39">
      <c r="A39" s="32">
        <v>0.182</v>
      </c>
      <c r="B39" s="18"/>
      <c r="C39" s="17">
        <v>363.0</v>
      </c>
      <c r="D39" s="11">
        <f t="shared" si="3"/>
        <v>0.2886751346</v>
      </c>
    </row>
    <row r="40">
      <c r="A40" s="32">
        <v>0.119</v>
      </c>
      <c r="B40" s="18"/>
      <c r="C40" s="17">
        <v>241.0</v>
      </c>
      <c r="D40" s="11">
        <f t="shared" si="3"/>
        <v>0.2886751346</v>
      </c>
    </row>
    <row r="41">
      <c r="A41" s="32">
        <v>0.084</v>
      </c>
      <c r="B41" s="18"/>
      <c r="C41" s="17">
        <v>175.8</v>
      </c>
      <c r="D41" s="11">
        <f t="shared" ref="D41:D44" si="4">0.1/SQRT(12)</f>
        <v>0.02886751346</v>
      </c>
    </row>
    <row r="42">
      <c r="A42" s="32">
        <v>0.011</v>
      </c>
      <c r="B42" s="18"/>
      <c r="C42" s="17">
        <v>37.3</v>
      </c>
      <c r="D42" s="11">
        <f t="shared" si="4"/>
        <v>0.02886751346</v>
      </c>
    </row>
    <row r="43">
      <c r="A43" s="32">
        <v>0.005</v>
      </c>
      <c r="B43" s="18"/>
      <c r="C43" s="17">
        <v>26.5</v>
      </c>
      <c r="D43" s="11">
        <f t="shared" si="4"/>
        <v>0.02886751346</v>
      </c>
    </row>
    <row r="44">
      <c r="A44" s="35">
        <v>0.0</v>
      </c>
      <c r="B44" s="36"/>
      <c r="C44" s="37">
        <v>13.6</v>
      </c>
      <c r="D44" s="38">
        <f t="shared" si="4"/>
        <v>0.02886751346</v>
      </c>
    </row>
    <row r="45">
      <c r="A45" s="32">
        <v>-0.003</v>
      </c>
      <c r="B45" s="18"/>
      <c r="C45" s="17">
        <v>8.92</v>
      </c>
      <c r="D45" s="11">
        <f t="shared" ref="D45:D48" si="5">0.01/SQRT(12)</f>
        <v>0.002886751346</v>
      </c>
    </row>
    <row r="46">
      <c r="A46" s="32">
        <v>-0.007</v>
      </c>
      <c r="B46" s="18"/>
      <c r="C46" s="17">
        <v>0.2</v>
      </c>
      <c r="D46" s="11">
        <f t="shared" si="5"/>
        <v>0.002886751346</v>
      </c>
    </row>
    <row r="47">
      <c r="A47" s="32">
        <v>-0.011</v>
      </c>
      <c r="B47" s="18"/>
      <c r="C47" s="17">
        <v>-6.62</v>
      </c>
      <c r="D47" s="11">
        <f t="shared" si="5"/>
        <v>0.002886751346</v>
      </c>
    </row>
    <row r="48">
      <c r="A48" s="32">
        <v>-0.016</v>
      </c>
      <c r="B48" s="18"/>
      <c r="C48" s="17">
        <v>-16.47</v>
      </c>
      <c r="D48" s="11">
        <f t="shared" si="5"/>
        <v>0.002886751346</v>
      </c>
    </row>
    <row r="49">
      <c r="A49" s="32">
        <v>-0.031</v>
      </c>
      <c r="B49" s="18"/>
      <c r="C49" s="17">
        <v>-47.1</v>
      </c>
      <c r="D49" s="11">
        <f t="shared" ref="D49:D53" si="6">0.1/SQRT(12)</f>
        <v>0.02886751346</v>
      </c>
    </row>
    <row r="50">
      <c r="A50" s="32">
        <v>-0.037</v>
      </c>
      <c r="B50" s="18"/>
      <c r="C50" s="17">
        <v>-57.8</v>
      </c>
      <c r="D50" s="11">
        <f t="shared" si="6"/>
        <v>0.02886751346</v>
      </c>
    </row>
    <row r="51">
      <c r="A51" s="32">
        <v>-0.062</v>
      </c>
      <c r="B51" s="18"/>
      <c r="C51" s="17">
        <v>-106.7</v>
      </c>
      <c r="D51" s="11">
        <f t="shared" si="6"/>
        <v>0.02886751346</v>
      </c>
    </row>
    <row r="52">
      <c r="A52" s="32">
        <v>-0.078</v>
      </c>
      <c r="B52" s="18"/>
      <c r="C52" s="17">
        <v>-139.3</v>
      </c>
      <c r="D52" s="11">
        <f t="shared" si="6"/>
        <v>0.02886751346</v>
      </c>
    </row>
    <row r="53">
      <c r="A53" s="32">
        <v>-0.103</v>
      </c>
      <c r="B53" s="18"/>
      <c r="C53" s="17">
        <v>-185.5</v>
      </c>
      <c r="D53" s="11">
        <f t="shared" si="6"/>
        <v>0.02886751346</v>
      </c>
    </row>
    <row r="54">
      <c r="A54" s="32">
        <v>-0.185</v>
      </c>
      <c r="B54" s="18"/>
      <c r="C54" s="17">
        <v>-331.0</v>
      </c>
      <c r="D54" s="11">
        <f t="shared" ref="D54:D89" si="7">1/SQRT(12)</f>
        <v>0.2886751346</v>
      </c>
    </row>
    <row r="55">
      <c r="A55" s="32">
        <v>-0.235</v>
      </c>
      <c r="B55" s="18"/>
      <c r="C55" s="17">
        <v>-418.0</v>
      </c>
      <c r="D55" s="11">
        <f t="shared" si="7"/>
        <v>0.2886751346</v>
      </c>
    </row>
    <row r="56">
      <c r="A56" s="32">
        <v>-0.272</v>
      </c>
      <c r="B56" s="18"/>
      <c r="C56" s="17">
        <v>-480.0</v>
      </c>
      <c r="D56" s="11">
        <f t="shared" si="7"/>
        <v>0.2886751346</v>
      </c>
    </row>
    <row r="57">
      <c r="A57" s="32">
        <v>-0.326</v>
      </c>
      <c r="B57" s="18"/>
      <c r="C57" s="17">
        <v>-567.0</v>
      </c>
      <c r="D57" s="11">
        <f t="shared" si="7"/>
        <v>0.2886751346</v>
      </c>
    </row>
    <row r="58">
      <c r="A58" s="32">
        <v>-0.391</v>
      </c>
      <c r="B58" s="18"/>
      <c r="C58" s="17">
        <v>-664.0</v>
      </c>
      <c r="D58" s="11">
        <f t="shared" si="7"/>
        <v>0.2886751346</v>
      </c>
    </row>
    <row r="59">
      <c r="A59" s="32">
        <v>-0.444</v>
      </c>
      <c r="B59" s="18"/>
      <c r="C59" s="17">
        <v>-735.0</v>
      </c>
      <c r="D59" s="11">
        <f t="shared" si="7"/>
        <v>0.2886751346</v>
      </c>
    </row>
    <row r="60">
      <c r="A60" s="32">
        <v>-0.504</v>
      </c>
      <c r="B60" s="18"/>
      <c r="C60" s="17">
        <v>-804.0</v>
      </c>
      <c r="D60" s="11">
        <f t="shared" si="7"/>
        <v>0.2886751346</v>
      </c>
    </row>
    <row r="61">
      <c r="A61" s="32">
        <v>-0.547</v>
      </c>
      <c r="B61" s="18"/>
      <c r="C61" s="17">
        <v>-847.0</v>
      </c>
      <c r="D61" s="11">
        <f t="shared" si="7"/>
        <v>0.2886751346</v>
      </c>
    </row>
    <row r="62">
      <c r="A62" s="32">
        <v>-0.596</v>
      </c>
      <c r="B62" s="18"/>
      <c r="C62" s="17">
        <v>-888.0</v>
      </c>
      <c r="D62" s="11">
        <f t="shared" si="7"/>
        <v>0.2886751346</v>
      </c>
    </row>
    <row r="63">
      <c r="A63" s="32">
        <v>-0.649</v>
      </c>
      <c r="B63" s="18"/>
      <c r="C63" s="17">
        <v>-926.0</v>
      </c>
      <c r="D63" s="11">
        <f t="shared" si="7"/>
        <v>0.2886751346</v>
      </c>
    </row>
    <row r="64">
      <c r="A64" s="32">
        <v>-0.69</v>
      </c>
      <c r="B64" s="18"/>
      <c r="C64" s="17">
        <v>-951.0</v>
      </c>
      <c r="D64" s="11">
        <f t="shared" si="7"/>
        <v>0.2886751346</v>
      </c>
    </row>
    <row r="65">
      <c r="A65" s="32">
        <v>-0.75</v>
      </c>
      <c r="B65" s="18"/>
      <c r="C65" s="17">
        <v>-983.0</v>
      </c>
      <c r="D65" s="11">
        <f t="shared" si="7"/>
        <v>0.2886751346</v>
      </c>
    </row>
    <row r="66">
      <c r="A66" s="32">
        <v>-0.811</v>
      </c>
      <c r="B66" s="18"/>
      <c r="C66" s="17">
        <v>-1010.0</v>
      </c>
      <c r="D66" s="11">
        <f t="shared" si="7"/>
        <v>0.2886751346</v>
      </c>
    </row>
    <row r="67">
      <c r="A67" s="32">
        <v>-0.862</v>
      </c>
      <c r="B67" s="18"/>
      <c r="C67" s="17">
        <v>-1030.0</v>
      </c>
      <c r="D67" s="11">
        <f t="shared" si="7"/>
        <v>0.2886751346</v>
      </c>
    </row>
    <row r="68">
      <c r="A68" s="32">
        <v>-0.911</v>
      </c>
      <c r="B68" s="18"/>
      <c r="C68" s="17">
        <v>-1048.0</v>
      </c>
      <c r="D68" s="11">
        <f t="shared" si="7"/>
        <v>0.2886751346</v>
      </c>
    </row>
    <row r="69">
      <c r="A69" s="32">
        <v>-0.958</v>
      </c>
      <c r="B69" s="18"/>
      <c r="C69" s="17">
        <v>-1064.0</v>
      </c>
      <c r="D69" s="11">
        <f t="shared" si="7"/>
        <v>0.2886751346</v>
      </c>
    </row>
    <row r="70">
      <c r="A70" s="33">
        <v>-0.999</v>
      </c>
      <c r="B70" s="22"/>
      <c r="C70" s="21">
        <v>-1076.0</v>
      </c>
      <c r="D70" s="34">
        <f t="shared" si="7"/>
        <v>0.2886751346</v>
      </c>
    </row>
    <row r="71">
      <c r="A71" s="32">
        <v>-0.948</v>
      </c>
      <c r="B71" s="18"/>
      <c r="C71" s="17">
        <v>-1064.0</v>
      </c>
      <c r="D71" s="11">
        <f t="shared" si="7"/>
        <v>0.2886751346</v>
      </c>
    </row>
    <row r="72">
      <c r="A72" s="32">
        <v>-0.897</v>
      </c>
      <c r="B72" s="18"/>
      <c r="C72" s="17">
        <v>-1049.0</v>
      </c>
      <c r="D72" s="11">
        <f t="shared" si="7"/>
        <v>0.2886751346</v>
      </c>
    </row>
    <row r="73">
      <c r="A73" s="32">
        <v>-0.85</v>
      </c>
      <c r="B73" s="18"/>
      <c r="C73" s="17">
        <v>-1034.0</v>
      </c>
      <c r="D73" s="11">
        <f t="shared" si="7"/>
        <v>0.2886751346</v>
      </c>
    </row>
    <row r="74">
      <c r="A74" s="32">
        <v>-0.797</v>
      </c>
      <c r="B74" s="18"/>
      <c r="C74" s="17">
        <v>-1015.0</v>
      </c>
      <c r="D74" s="11">
        <f t="shared" si="7"/>
        <v>0.2886751346</v>
      </c>
    </row>
    <row r="75">
      <c r="A75" s="32">
        <v>-0.731</v>
      </c>
      <c r="B75" s="18"/>
      <c r="C75" s="17">
        <v>-989.0</v>
      </c>
      <c r="D75" s="11">
        <f t="shared" si="7"/>
        <v>0.2886751346</v>
      </c>
    </row>
    <row r="76">
      <c r="A76" s="32">
        <v>-0.685</v>
      </c>
      <c r="B76" s="18"/>
      <c r="C76" s="17">
        <v>-967.0</v>
      </c>
      <c r="D76" s="11">
        <f t="shared" si="7"/>
        <v>0.2886751346</v>
      </c>
    </row>
    <row r="77">
      <c r="A77" s="32">
        <v>-0.634</v>
      </c>
      <c r="B77" s="18"/>
      <c r="C77" s="17">
        <v>-940.0</v>
      </c>
      <c r="D77" s="11">
        <f t="shared" si="7"/>
        <v>0.2886751346</v>
      </c>
    </row>
    <row r="78">
      <c r="A78" s="32">
        <v>-0.581</v>
      </c>
      <c r="B78" s="18"/>
      <c r="C78" s="17">
        <v>-906.0</v>
      </c>
      <c r="D78" s="11">
        <f t="shared" si="7"/>
        <v>0.2886751346</v>
      </c>
    </row>
    <row r="79">
      <c r="A79" s="32">
        <v>-0.534</v>
      </c>
      <c r="B79" s="18"/>
      <c r="C79" s="17">
        <v>-869.0</v>
      </c>
      <c r="D79" s="11">
        <f t="shared" si="7"/>
        <v>0.2886751346</v>
      </c>
    </row>
    <row r="80">
      <c r="A80" s="32">
        <v>-0.484</v>
      </c>
      <c r="B80" s="18"/>
      <c r="C80" s="17">
        <v>-822.0</v>
      </c>
      <c r="D80" s="11">
        <f t="shared" si="7"/>
        <v>0.2886751346</v>
      </c>
    </row>
    <row r="81">
      <c r="A81" s="32">
        <v>-0.411</v>
      </c>
      <c r="B81" s="18"/>
      <c r="C81" s="17">
        <v>-733.0</v>
      </c>
      <c r="D81" s="11">
        <f t="shared" si="7"/>
        <v>0.2886751346</v>
      </c>
    </row>
    <row r="82">
      <c r="A82" s="32">
        <v>-0.36</v>
      </c>
      <c r="B82" s="18"/>
      <c r="C82" s="17">
        <v>-658.0</v>
      </c>
      <c r="D82" s="11">
        <f t="shared" si="7"/>
        <v>0.2886751346</v>
      </c>
    </row>
    <row r="83">
      <c r="A83" s="32">
        <v>-0.302</v>
      </c>
      <c r="B83" s="18"/>
      <c r="C83" s="17">
        <v>-567.0</v>
      </c>
      <c r="D83" s="11">
        <f t="shared" si="7"/>
        <v>0.2886751346</v>
      </c>
    </row>
    <row r="84">
      <c r="A84" s="32">
        <v>-0.256</v>
      </c>
      <c r="B84" s="18"/>
      <c r="C84" s="17">
        <v>-484.0</v>
      </c>
      <c r="D84" s="11">
        <f t="shared" si="7"/>
        <v>0.2886751346</v>
      </c>
    </row>
    <row r="85">
      <c r="A85" s="32">
        <v>-0.198</v>
      </c>
      <c r="B85" s="18"/>
      <c r="C85" s="17">
        <v>-384.0</v>
      </c>
      <c r="D85" s="11">
        <f t="shared" si="7"/>
        <v>0.2886751346</v>
      </c>
    </row>
    <row r="86">
      <c r="A86" s="32">
        <v>-0.161</v>
      </c>
      <c r="B86" s="18"/>
      <c r="C86" s="17">
        <v>-318.0</v>
      </c>
      <c r="D86" s="11">
        <f t="shared" si="7"/>
        <v>0.2886751346</v>
      </c>
    </row>
    <row r="87">
      <c r="A87" s="32">
        <v>-0.13</v>
      </c>
      <c r="B87" s="18"/>
      <c r="C87" s="17">
        <v>-257.0</v>
      </c>
      <c r="D87" s="11">
        <f t="shared" si="7"/>
        <v>0.2886751346</v>
      </c>
    </row>
    <row r="88">
      <c r="A88" s="32">
        <v>-0.094</v>
      </c>
      <c r="B88" s="18"/>
      <c r="C88" s="17">
        <v>-191.0</v>
      </c>
      <c r="D88" s="11">
        <f t="shared" si="7"/>
        <v>0.2886751346</v>
      </c>
    </row>
    <row r="89">
      <c r="A89" s="32">
        <v>-0.054</v>
      </c>
      <c r="B89" s="18"/>
      <c r="C89" s="17">
        <v>-111.0</v>
      </c>
      <c r="D89" s="11">
        <f t="shared" si="7"/>
        <v>0.2886751346</v>
      </c>
    </row>
    <row r="90">
      <c r="A90" s="32">
        <v>-0.028</v>
      </c>
      <c r="B90" s="18"/>
      <c r="C90" s="17">
        <v>-63.3</v>
      </c>
      <c r="D90" s="11">
        <f t="shared" ref="D90:D92" si="8">0.1/SQRT(12)</f>
        <v>0.02886751346</v>
      </c>
    </row>
    <row r="91">
      <c r="A91" s="32">
        <v>-0.016</v>
      </c>
      <c r="B91" s="18"/>
      <c r="C91" s="17">
        <v>-39.3</v>
      </c>
      <c r="D91" s="11">
        <f t="shared" si="8"/>
        <v>0.02886751346</v>
      </c>
    </row>
    <row r="92">
      <c r="A92" s="32">
        <v>-0.006</v>
      </c>
      <c r="B92" s="18"/>
      <c r="C92" s="17">
        <v>-21.3</v>
      </c>
      <c r="D92" s="11">
        <f t="shared" si="8"/>
        <v>0.02886751346</v>
      </c>
    </row>
    <row r="93">
      <c r="A93" s="32">
        <v>-0.003</v>
      </c>
      <c r="B93" s="18"/>
      <c r="C93" s="17">
        <v>-14.8</v>
      </c>
      <c r="D93" s="11">
        <f t="shared" ref="D93:D97" si="9">0.01/SQRT(12)</f>
        <v>0.002886751346</v>
      </c>
    </row>
    <row r="94">
      <c r="A94" s="39">
        <v>0.0</v>
      </c>
      <c r="B94" s="40"/>
      <c r="C94" s="41">
        <v>-7.73</v>
      </c>
      <c r="D94" s="42">
        <f t="shared" si="9"/>
        <v>0.002886751346</v>
      </c>
    </row>
    <row r="95">
      <c r="A95" s="32">
        <v>0.003</v>
      </c>
      <c r="B95" s="18"/>
      <c r="C95" s="17">
        <v>-1.66</v>
      </c>
      <c r="D95" s="11">
        <f t="shared" si="9"/>
        <v>0.002886751346</v>
      </c>
    </row>
    <row r="96">
      <c r="A96" s="32">
        <v>0.009</v>
      </c>
      <c r="B96" s="18"/>
      <c r="C96" s="17">
        <v>9.3</v>
      </c>
      <c r="D96" s="11">
        <f t="shared" si="9"/>
        <v>0.002886751346</v>
      </c>
    </row>
    <row r="97">
      <c r="A97" s="32">
        <v>0.012</v>
      </c>
      <c r="B97" s="18"/>
      <c r="C97" s="17">
        <v>17.72</v>
      </c>
      <c r="D97" s="11">
        <f t="shared" si="9"/>
        <v>0.002886751346</v>
      </c>
    </row>
    <row r="98">
      <c r="A98" s="32">
        <v>0.017</v>
      </c>
      <c r="B98" s="18"/>
      <c r="C98" s="17">
        <v>24.0</v>
      </c>
      <c r="D98" s="11">
        <f t="shared" ref="D98:D101" si="10">0.1/SQRT(12)</f>
        <v>0.02886751346</v>
      </c>
    </row>
    <row r="99">
      <c r="A99" s="32">
        <v>0.047</v>
      </c>
      <c r="B99" s="18"/>
      <c r="C99" s="17">
        <v>80.8</v>
      </c>
      <c r="D99" s="11">
        <f t="shared" si="10"/>
        <v>0.02886751346</v>
      </c>
    </row>
    <row r="100">
      <c r="A100" s="32">
        <v>0.064</v>
      </c>
      <c r="B100" s="18"/>
      <c r="C100" s="17">
        <v>113.4</v>
      </c>
      <c r="D100" s="11">
        <f t="shared" si="10"/>
        <v>0.02886751346</v>
      </c>
    </row>
    <row r="101">
      <c r="A101" s="32">
        <v>0.097</v>
      </c>
      <c r="B101" s="18"/>
      <c r="C101" s="17">
        <v>175.5</v>
      </c>
      <c r="D101" s="11">
        <f t="shared" si="10"/>
        <v>0.02886751346</v>
      </c>
    </row>
    <row r="102">
      <c r="A102" s="32">
        <v>0.128</v>
      </c>
      <c r="B102" s="18"/>
      <c r="C102" s="17">
        <v>242.0</v>
      </c>
      <c r="D102" s="11">
        <f t="shared" ref="D102:D125" si="11">1/SQRT(12)</f>
        <v>0.2886751346</v>
      </c>
    </row>
    <row r="103">
      <c r="A103" s="32">
        <v>0.164</v>
      </c>
      <c r="B103" s="18"/>
      <c r="C103" s="17">
        <v>308.0</v>
      </c>
      <c r="D103" s="11">
        <f t="shared" si="11"/>
        <v>0.2886751346</v>
      </c>
    </row>
    <row r="104">
      <c r="A104" s="32">
        <v>0.191</v>
      </c>
      <c r="B104" s="18"/>
      <c r="C104" s="17">
        <v>358.0</v>
      </c>
      <c r="D104" s="11">
        <f t="shared" si="11"/>
        <v>0.2886751346</v>
      </c>
    </row>
    <row r="105">
      <c r="A105" s="32">
        <v>0.222</v>
      </c>
      <c r="B105" s="18"/>
      <c r="C105" s="17">
        <v>415.0</v>
      </c>
      <c r="D105" s="11">
        <f t="shared" si="11"/>
        <v>0.2886751346</v>
      </c>
    </row>
    <row r="106">
      <c r="A106" s="32">
        <v>0.251</v>
      </c>
      <c r="B106" s="18"/>
      <c r="C106" s="17">
        <v>466.0</v>
      </c>
      <c r="D106" s="11">
        <f t="shared" si="11"/>
        <v>0.2886751346</v>
      </c>
    </row>
    <row r="107">
      <c r="A107" s="32">
        <v>0.268</v>
      </c>
      <c r="B107" s="18"/>
      <c r="C107" s="17">
        <v>496.0</v>
      </c>
      <c r="D107" s="11">
        <f t="shared" si="11"/>
        <v>0.2886751346</v>
      </c>
    </row>
    <row r="108">
      <c r="A108" s="32">
        <v>0.296</v>
      </c>
      <c r="B108" s="18"/>
      <c r="C108" s="17">
        <v>540.0</v>
      </c>
      <c r="D108" s="11">
        <f t="shared" si="11"/>
        <v>0.2886751346</v>
      </c>
    </row>
    <row r="109">
      <c r="A109" s="32">
        <v>0.344</v>
      </c>
      <c r="B109" s="18"/>
      <c r="C109" s="17">
        <v>617.0</v>
      </c>
      <c r="D109" s="11">
        <f t="shared" si="11"/>
        <v>0.2886751346</v>
      </c>
    </row>
    <row r="110">
      <c r="A110" s="32">
        <v>0.385</v>
      </c>
      <c r="B110" s="18"/>
      <c r="C110" s="17">
        <v>680.0</v>
      </c>
      <c r="D110" s="11">
        <f t="shared" si="11"/>
        <v>0.2886751346</v>
      </c>
    </row>
    <row r="111">
      <c r="A111" s="32">
        <v>0.424</v>
      </c>
      <c r="B111" s="18"/>
      <c r="C111" s="17">
        <v>735.0</v>
      </c>
      <c r="D111" s="11">
        <f t="shared" si="11"/>
        <v>0.2886751346</v>
      </c>
    </row>
    <row r="112">
      <c r="A112" s="32">
        <v>0.471</v>
      </c>
      <c r="B112" s="18"/>
      <c r="C112" s="17">
        <v>796.0</v>
      </c>
      <c r="D112" s="11">
        <f t="shared" si="11"/>
        <v>0.2886751346</v>
      </c>
    </row>
    <row r="113">
      <c r="A113" s="32">
        <v>0.514</v>
      </c>
      <c r="B113" s="18"/>
      <c r="C113" s="17">
        <v>846.0</v>
      </c>
      <c r="D113" s="11">
        <f t="shared" si="11"/>
        <v>0.2886751346</v>
      </c>
    </row>
    <row r="114">
      <c r="A114" s="32">
        <v>0.553</v>
      </c>
      <c r="B114" s="18"/>
      <c r="C114" s="17">
        <v>885.0</v>
      </c>
      <c r="D114" s="11">
        <f t="shared" si="11"/>
        <v>0.2886751346</v>
      </c>
    </row>
    <row r="115">
      <c r="A115" s="32">
        <v>0.595</v>
      </c>
      <c r="B115" s="18"/>
      <c r="C115" s="17">
        <v>921.0</v>
      </c>
      <c r="D115" s="11">
        <f t="shared" si="11"/>
        <v>0.2886751346</v>
      </c>
    </row>
    <row r="116">
      <c r="A116" s="32">
        <v>0.647</v>
      </c>
      <c r="B116" s="18"/>
      <c r="C116" s="17">
        <v>958.0</v>
      </c>
      <c r="D116" s="11">
        <f t="shared" si="11"/>
        <v>0.2886751346</v>
      </c>
    </row>
    <row r="117">
      <c r="A117" s="32">
        <v>0.691</v>
      </c>
      <c r="B117" s="18"/>
      <c r="C117" s="17">
        <v>986.0</v>
      </c>
      <c r="D117" s="11">
        <f t="shared" si="11"/>
        <v>0.2886751346</v>
      </c>
    </row>
    <row r="118">
      <c r="A118" s="32">
        <v>0.745</v>
      </c>
      <c r="B118" s="18"/>
      <c r="C118" s="17">
        <v>1016.0</v>
      </c>
      <c r="D118" s="11">
        <f t="shared" si="11"/>
        <v>0.2886751346</v>
      </c>
    </row>
    <row r="119">
      <c r="A119" s="32">
        <v>0.793</v>
      </c>
      <c r="B119" s="18"/>
      <c r="C119" s="17">
        <v>1038.0</v>
      </c>
      <c r="D119" s="11">
        <f t="shared" si="11"/>
        <v>0.2886751346</v>
      </c>
    </row>
    <row r="120">
      <c r="A120" s="32">
        <v>0.85</v>
      </c>
      <c r="B120" s="18"/>
      <c r="C120" s="17">
        <v>1062.0</v>
      </c>
      <c r="D120" s="11">
        <f t="shared" si="11"/>
        <v>0.2886751346</v>
      </c>
    </row>
    <row r="121">
      <c r="A121" s="32">
        <v>0.885</v>
      </c>
      <c r="B121" s="18"/>
      <c r="C121" s="17">
        <v>1075.0</v>
      </c>
      <c r="D121" s="11">
        <f t="shared" si="11"/>
        <v>0.2886751346</v>
      </c>
    </row>
    <row r="122">
      <c r="A122" s="32">
        <v>0.908</v>
      </c>
      <c r="B122" s="18"/>
      <c r="C122" s="17">
        <v>1083.0</v>
      </c>
      <c r="D122" s="11">
        <f t="shared" si="11"/>
        <v>0.2886751346</v>
      </c>
    </row>
    <row r="123">
      <c r="A123" s="32">
        <v>0.932</v>
      </c>
      <c r="B123" s="18"/>
      <c r="C123" s="17">
        <v>1091.0</v>
      </c>
      <c r="D123" s="11">
        <f t="shared" si="11"/>
        <v>0.2886751346</v>
      </c>
    </row>
    <row r="124">
      <c r="A124" s="32">
        <v>0.962</v>
      </c>
      <c r="B124" s="18"/>
      <c r="C124" s="17">
        <v>1100.0</v>
      </c>
      <c r="D124" s="11">
        <f t="shared" si="11"/>
        <v>0.2886751346</v>
      </c>
    </row>
    <row r="125">
      <c r="A125" s="32">
        <v>0.999</v>
      </c>
      <c r="B125" s="18"/>
      <c r="C125" s="17">
        <v>1110.0</v>
      </c>
      <c r="D125" s="11">
        <f t="shared" si="11"/>
        <v>0.2886751346</v>
      </c>
    </row>
  </sheetData>
  <drawing r:id="rId1"/>
</worksheet>
</file>