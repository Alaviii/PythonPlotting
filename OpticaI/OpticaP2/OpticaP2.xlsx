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M visual" sheetId="1" r:id="rId4"/>
    <sheet state="visible" name="Na" sheetId="2" r:id="rId5"/>
    <sheet state="visible" name="Red" sheetId="3" r:id="rId6"/>
    <sheet state="visible" name="Blu" sheetId="4" r:id="rId7"/>
    <sheet state="visible" name="2. M cálculo" sheetId="5" r:id="rId8"/>
    <sheet state="visible" name="3. M ajuste" sheetId="6" r:id="rId9"/>
  </sheets>
  <definedNames/>
  <calcPr/>
</workbook>
</file>

<file path=xl/sharedStrings.xml><?xml version="1.0" encoding="utf-8"?>
<sst xmlns="http://schemas.openxmlformats.org/spreadsheetml/2006/main" count="105" uniqueCount="46">
  <si>
    <t>Línea D (lamp Na)</t>
  </si>
  <si>
    <t>λ_D (m)</t>
  </si>
  <si>
    <t>L_D (º) +- 0,1 º</t>
  </si>
  <si>
    <t>L_0D</t>
  </si>
  <si>
    <t>δm_D (rad)</t>
  </si>
  <si>
    <t>nD</t>
  </si>
  <si>
    <t>L_D media (rad)</t>
  </si>
  <si>
    <t>error L_D media</t>
  </si>
  <si>
    <t>L_0D media (rad)</t>
  </si>
  <si>
    <t>error L_0D media</t>
  </si>
  <si>
    <t>error δm_D (rad)</t>
  </si>
  <si>
    <t>nD final</t>
  </si>
  <si>
    <t>error nD</t>
  </si>
  <si>
    <t>El rayo se desvía hacia la base del prisma, no hacia el pico</t>
  </si>
  <si>
    <t xml:space="preserve">El colimador hace que los rayos entren todos con el mismo angulo de incidencia </t>
  </si>
  <si>
    <t>PODER RESOLUTIVO</t>
  </si>
  <si>
    <t>ν_D</t>
  </si>
  <si>
    <t>1/ν</t>
  </si>
  <si>
    <t>error v_D</t>
  </si>
  <si>
    <t>error 1/v</t>
  </si>
  <si>
    <t>parcial v_d resp nd</t>
  </si>
  <si>
    <t>error L (rad)</t>
  </si>
  <si>
    <t>alpha (rad)</t>
  </si>
  <si>
    <t>parcial v_d resp nf</t>
  </si>
  <si>
    <t>parcial v_d respec nc</t>
  </si>
  <si>
    <t>Línea C (lamp He)</t>
  </si>
  <si>
    <t>λ_C (m)</t>
  </si>
  <si>
    <t>L_C</t>
  </si>
  <si>
    <t>L_0C</t>
  </si>
  <si>
    <t>δm_C</t>
  </si>
  <si>
    <t>nC</t>
  </si>
  <si>
    <t>Línea F (lamp He)</t>
  </si>
  <si>
    <t>λ_F (m)</t>
  </si>
  <si>
    <t>L_F</t>
  </si>
  <si>
    <t>L_0F</t>
  </si>
  <si>
    <t>δm_F</t>
  </si>
  <si>
    <t>nF</t>
  </si>
  <si>
    <t>L_D</t>
  </si>
  <si>
    <t>L0_D</t>
  </si>
  <si>
    <t>Lo (º)</t>
  </si>
  <si>
    <t>Lx (º)</t>
  </si>
  <si>
    <t>Px (º)</t>
  </si>
  <si>
    <t>δ</t>
  </si>
  <si>
    <t>ε1</t>
  </si>
  <si>
    <t>δ (rad)</t>
  </si>
  <si>
    <t>ε1 (rad)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</si>
</sst>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1" numFmtId="0" xfId="0" applyAlignment="1" applyFill="1" applyFont="1">
      <alignment readingOrder="0"/>
    </xf>
    <xf borderId="0" fillId="3" fontId="2" numFmtId="0" xfId="0" applyFont="1"/>
    <xf borderId="0" fillId="3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4" fontId="2" numFmtId="0" xfId="0" applyFill="1" applyFont="1"/>
    <xf borderId="0" fillId="5" fontId="4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6" max="6" width="19.75"/>
    <col customWidth="1" min="11" max="11" width="14.25"/>
  </cols>
  <sheetData>
    <row r="1">
      <c r="A1" s="1" t="s">
        <v>0</v>
      </c>
      <c r="B1" s="2" t="s">
        <v>1</v>
      </c>
      <c r="C1" s="3">
        <f>589.3 *10^(-9)</f>
        <v>0.0000005893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4</v>
      </c>
      <c r="J2" s="2" t="s">
        <v>10</v>
      </c>
      <c r="K2" s="2" t="s">
        <v>11</v>
      </c>
      <c r="L2" s="2" t="s">
        <v>12</v>
      </c>
      <c r="Y2" s="2" t="s">
        <v>13</v>
      </c>
    </row>
    <row r="3">
      <c r="A3" s="5">
        <v>235.2</v>
      </c>
      <c r="B3" s="5">
        <v>186.4</v>
      </c>
      <c r="C3" s="6">
        <f t="shared" ref="C3:C10" si="1">ABS(A3-B3)*pi()/180</f>
        <v>0.851720675</v>
      </c>
      <c r="D3" s="6">
        <f t="shared" ref="D3:D10" si="2">(SIN(C3/2+pi()/6))/(SIN(pi()/6))</f>
        <v>1.626201522</v>
      </c>
      <c r="E3" s="3">
        <f>AVERAGE(A3:A10)*pi()/180</f>
        <v>4.275402169</v>
      </c>
      <c r="F3" s="3">
        <f>SQRT(SUMSQ(A13,pi()/180*STDEV(A3:A10)/SQRT(8)))</f>
        <v>0.3562046875</v>
      </c>
      <c r="G3" s="3">
        <f>AVERAGE(B3:B10)*pi()/180</f>
        <v>3.560471674</v>
      </c>
      <c r="H3" s="3">
        <f>SQRT(SUMSQ(A13,STDEV(B3:B10)*(pi()/180)/SQRT(8)))</f>
        <v>0.3613252101</v>
      </c>
      <c r="I3" s="3">
        <f>(E3-G3)</f>
        <v>0.7149304948</v>
      </c>
      <c r="J3" s="3">
        <f>SQRT(SUMSQ(F3,H3))</f>
        <v>0.5073831755</v>
      </c>
      <c r="K3" s="3">
        <f>(SIN(I3/2+pi()/6))/(SIN(pi()/6))</f>
        <v>1.542832772</v>
      </c>
      <c r="L3" s="3">
        <f>COS(I3/2+pi()/6)*0.5*J3/SIN(pi()/6)</f>
        <v>0.3228634911</v>
      </c>
      <c r="Y3" s="2" t="s">
        <v>14</v>
      </c>
    </row>
    <row r="4">
      <c r="A4" s="5">
        <v>194.9</v>
      </c>
      <c r="B4" s="5">
        <v>150.2</v>
      </c>
      <c r="C4" s="6">
        <f t="shared" si="1"/>
        <v>0.7801621756</v>
      </c>
      <c r="D4" s="6">
        <f t="shared" si="2"/>
        <v>1.583513779</v>
      </c>
    </row>
    <row r="5">
      <c r="A5" s="2">
        <v>182.8</v>
      </c>
      <c r="B5" s="2">
        <v>143.7</v>
      </c>
      <c r="C5" s="3">
        <f t="shared" si="1"/>
        <v>0.6824237375</v>
      </c>
      <c r="D5" s="3">
        <f t="shared" si="2"/>
        <v>1.521944853</v>
      </c>
      <c r="N5" s="7" t="s">
        <v>15</v>
      </c>
      <c r="O5" s="8"/>
      <c r="P5" s="8"/>
      <c r="Q5" s="8"/>
    </row>
    <row r="6">
      <c r="A6" s="2">
        <v>328.1</v>
      </c>
      <c r="B6" s="2">
        <v>287.6</v>
      </c>
      <c r="C6" s="3">
        <f t="shared" si="1"/>
        <v>0.7068583471</v>
      </c>
      <c r="D6" s="3">
        <f t="shared" si="2"/>
        <v>1.537683664</v>
      </c>
      <c r="N6" s="7" t="s">
        <v>16</v>
      </c>
      <c r="O6" s="7" t="s">
        <v>17</v>
      </c>
      <c r="P6" s="9" t="s">
        <v>18</v>
      </c>
      <c r="Q6" s="9" t="s">
        <v>19</v>
      </c>
    </row>
    <row r="7">
      <c r="A7" s="2">
        <v>311.3</v>
      </c>
      <c r="B7" s="2">
        <v>272.7</v>
      </c>
      <c r="C7" s="3">
        <f t="shared" si="1"/>
        <v>0.6736970913</v>
      </c>
      <c r="D7" s="3">
        <f t="shared" si="2"/>
        <v>1.516268672</v>
      </c>
      <c r="N7" s="8">
        <f>(K3-1)/(K29-K18)</f>
        <v>75.68024708</v>
      </c>
      <c r="O7" s="8">
        <f>1/N7</f>
        <v>0.01321348752</v>
      </c>
      <c r="P7" s="8">
        <f>SQRT(SUMSQ(O11*L3,O12*L29,O13*L18))</f>
        <v>3282.48558</v>
      </c>
      <c r="Q7" s="8">
        <f>P7/N7^2</f>
        <v>0.5731096807</v>
      </c>
    </row>
    <row r="8">
      <c r="A8" s="2">
        <v>294.4</v>
      </c>
      <c r="B8" s="2">
        <v>255.8</v>
      </c>
      <c r="C8" s="3">
        <f t="shared" si="1"/>
        <v>0.6736970913</v>
      </c>
      <c r="D8" s="3">
        <f t="shared" si="2"/>
        <v>1.516268672</v>
      </c>
    </row>
    <row r="9">
      <c r="A9" s="2">
        <v>215.0</v>
      </c>
      <c r="B9" s="2">
        <v>176.4</v>
      </c>
      <c r="C9" s="3">
        <f t="shared" si="1"/>
        <v>0.6736970913</v>
      </c>
      <c r="D9" s="3">
        <f t="shared" si="2"/>
        <v>1.516268672</v>
      </c>
    </row>
    <row r="10">
      <c r="A10" s="2">
        <v>198.0</v>
      </c>
      <c r="B10" s="2">
        <v>159.2</v>
      </c>
      <c r="C10" s="3">
        <f t="shared" si="1"/>
        <v>0.6771877498</v>
      </c>
      <c r="D10" s="3">
        <f t="shared" si="2"/>
        <v>1.518542615</v>
      </c>
    </row>
    <row r="11">
      <c r="N11" s="2" t="s">
        <v>20</v>
      </c>
      <c r="O11" s="3">
        <f>1/(K29-K18)</f>
        <v>139.4172404</v>
      </c>
    </row>
    <row r="12">
      <c r="A12" s="10" t="s">
        <v>21</v>
      </c>
      <c r="B12" s="4" t="s">
        <v>22</v>
      </c>
      <c r="N12" s="2" t="s">
        <v>23</v>
      </c>
      <c r="O12" s="3">
        <f>(-L3+1)/(K29-K18)^2</f>
        <v>13161.61536</v>
      </c>
    </row>
    <row r="13">
      <c r="A13" s="11">
        <f>(0.1*PI()/180)/SQRT(12)</f>
        <v>0.0005038331567</v>
      </c>
      <c r="B13" s="3">
        <f>pi()/3</f>
        <v>1.047197551</v>
      </c>
      <c r="N13" s="2" t="s">
        <v>24</v>
      </c>
      <c r="O13" s="3">
        <f>-O12</f>
        <v>-13161.61536</v>
      </c>
    </row>
    <row r="16">
      <c r="A16" s="12" t="s">
        <v>25</v>
      </c>
      <c r="B16" s="2" t="s">
        <v>26</v>
      </c>
      <c r="C16" s="3">
        <f>656.3 *10^(-9)</f>
        <v>0.0000006563</v>
      </c>
    </row>
    <row r="17">
      <c r="A17" s="4" t="s">
        <v>27</v>
      </c>
      <c r="B17" s="4" t="s">
        <v>28</v>
      </c>
      <c r="C17" s="4" t="s">
        <v>29</v>
      </c>
      <c r="D17" s="4" t="s">
        <v>30</v>
      </c>
      <c r="E17" s="2" t="s">
        <v>6</v>
      </c>
      <c r="F17" s="2" t="s">
        <v>7</v>
      </c>
      <c r="G17" s="2" t="s">
        <v>8</v>
      </c>
      <c r="H17" s="2" t="s">
        <v>9</v>
      </c>
      <c r="I17" s="2" t="s">
        <v>4</v>
      </c>
      <c r="J17" s="2" t="s">
        <v>10</v>
      </c>
      <c r="K17" s="2" t="s">
        <v>11</v>
      </c>
      <c r="L17" s="2" t="s">
        <v>12</v>
      </c>
    </row>
    <row r="18">
      <c r="A18" s="2">
        <v>280.9</v>
      </c>
      <c r="B18" s="2">
        <v>242.4</v>
      </c>
      <c r="C18" s="3">
        <f t="shared" ref="C18:C23" si="3">ABS(A18-B18)*pi()/180</f>
        <v>0.671951762</v>
      </c>
      <c r="D18" s="3">
        <f t="shared" ref="D18:D23" si="4">(SIN(C18/2+pi()/6))/(SIN(pi()/6))</f>
        <v>1.515129969</v>
      </c>
      <c r="E18" s="3">
        <f>AVERAGE(A18:A23)*pi()/180</f>
        <v>5.284275199</v>
      </c>
      <c r="F18" s="3">
        <f>SQRT(SUMSQ(A13,pi()/180*STDEV(A18:A23)/SQRT(6)))</f>
        <v>0.1715673845</v>
      </c>
      <c r="G18" s="3">
        <f>AVERAGE(B18:B23)*pi()/180</f>
        <v>4.607669225</v>
      </c>
      <c r="H18" s="3">
        <f>SQRT(SUMSQ(A13,STDEV(B18:B23)*(pi()/180)/SQRT(6)))</f>
        <v>0.1739526567</v>
      </c>
      <c r="I18" s="3">
        <f>(E18-G18)</f>
        <v>0.6766059734</v>
      </c>
      <c r="J18" s="3">
        <f>SQRT(SUMSQ(F18,H18))</f>
        <v>0.2443253859</v>
      </c>
      <c r="K18" s="3">
        <f>(SIN(I18/2+pi()/6))/(SIN(pi()/6))</f>
        <v>1.518163945</v>
      </c>
      <c r="L18" s="3">
        <f>COS(I18/2+pi()/6)*0.5*J18/SIN(pi()/6)</f>
        <v>0.1590546175</v>
      </c>
    </row>
    <row r="19">
      <c r="A19" s="2">
        <v>280.6</v>
      </c>
      <c r="B19" s="2">
        <v>240.3</v>
      </c>
      <c r="C19" s="3">
        <f t="shared" si="3"/>
        <v>0.7033676886</v>
      </c>
      <c r="D19" s="3">
        <f t="shared" si="4"/>
        <v>1.53544926</v>
      </c>
    </row>
    <row r="20">
      <c r="A20" s="2">
        <v>344.4</v>
      </c>
      <c r="B20" s="2">
        <v>305.9</v>
      </c>
      <c r="C20" s="3">
        <f t="shared" si="3"/>
        <v>0.671951762</v>
      </c>
      <c r="D20" s="3">
        <f t="shared" si="4"/>
        <v>1.515129969</v>
      </c>
    </row>
    <row r="21">
      <c r="A21" s="2">
        <v>312.5</v>
      </c>
      <c r="B21" s="2">
        <v>274.0</v>
      </c>
      <c r="C21" s="3">
        <f t="shared" si="3"/>
        <v>0.671951762</v>
      </c>
      <c r="D21" s="3">
        <f t="shared" si="4"/>
        <v>1.515129969</v>
      </c>
    </row>
    <row r="22">
      <c r="A22" s="2">
        <v>293.0</v>
      </c>
      <c r="B22" s="2">
        <v>254.6</v>
      </c>
      <c r="C22" s="3">
        <f t="shared" si="3"/>
        <v>0.6702064328</v>
      </c>
      <c r="D22" s="3">
        <f t="shared" si="4"/>
        <v>1.513990111</v>
      </c>
    </row>
    <row r="23">
      <c r="A23" s="2">
        <v>305.2</v>
      </c>
      <c r="B23" s="2">
        <v>266.8</v>
      </c>
      <c r="C23" s="3">
        <f t="shared" si="3"/>
        <v>0.6702064328</v>
      </c>
      <c r="D23" s="3">
        <f t="shared" si="4"/>
        <v>1.513990111</v>
      </c>
    </row>
    <row r="26">
      <c r="A26" s="13" t="s">
        <v>31</v>
      </c>
      <c r="B26" s="2" t="s">
        <v>32</v>
      </c>
      <c r="C26" s="3">
        <f>486.1 *10^(-9)</f>
        <v>0.0000004861</v>
      </c>
    </row>
    <row r="27">
      <c r="A27" s="4" t="s">
        <v>33</v>
      </c>
      <c r="B27" s="4" t="s">
        <v>34</v>
      </c>
      <c r="C27" s="4" t="s">
        <v>35</v>
      </c>
      <c r="D27" s="4" t="s">
        <v>36</v>
      </c>
    </row>
    <row r="28">
      <c r="A28" s="2">
        <f>11.7+360</f>
        <v>371.7</v>
      </c>
      <c r="B28" s="2">
        <v>332.3</v>
      </c>
      <c r="C28" s="3">
        <f t="shared" ref="C28:C33" si="5">ABS(A28-B28)*pi()/180</f>
        <v>0.6876597253</v>
      </c>
      <c r="D28" s="3">
        <f t="shared" ref="D28:D33" si="6">(SIN(C28/2+pi()/6))/(SIN(pi()/6))</f>
        <v>1.525336659</v>
      </c>
      <c r="E28" s="2" t="s">
        <v>6</v>
      </c>
      <c r="F28" s="2" t="s">
        <v>7</v>
      </c>
      <c r="G28" s="2" t="s">
        <v>8</v>
      </c>
      <c r="H28" s="2" t="s">
        <v>9</v>
      </c>
      <c r="I28" s="2" t="s">
        <v>4</v>
      </c>
      <c r="J28" s="2" t="s">
        <v>10</v>
      </c>
      <c r="K28" s="2" t="s">
        <v>11</v>
      </c>
      <c r="L28" s="2" t="s">
        <v>12</v>
      </c>
    </row>
    <row r="29">
      <c r="A29" s="2">
        <v>353.0</v>
      </c>
      <c r="B29" s="2">
        <v>313.3</v>
      </c>
      <c r="C29" s="3">
        <f t="shared" si="5"/>
        <v>0.692895713</v>
      </c>
      <c r="D29" s="3">
        <f t="shared" si="6"/>
        <v>1.528718012</v>
      </c>
      <c r="E29" s="3">
        <f>AVERAGE(A28:A33)*pi()/180</f>
        <v>5.784893806</v>
      </c>
      <c r="F29" s="3">
        <f>SQRT(SUMSQ(A13,pi()/180*STDEV(A28:A33)/SQRT(6)))</f>
        <v>0.2099847009</v>
      </c>
      <c r="G29" s="3">
        <f>AVERAGE(B28:B33)*pi()/180</f>
        <v>5.09723408</v>
      </c>
      <c r="H29" s="3">
        <f>SQRT(SUMSQ(A13,STDEV(B28:B33)*(pi()/180)/SQRT(6)))</f>
        <v>0.2099706773</v>
      </c>
      <c r="I29" s="3">
        <f>(E29-G29)</f>
        <v>0.6876597253</v>
      </c>
      <c r="J29" s="3">
        <f>SQRT(SUMSQ(F29,H29))</f>
        <v>0.2969532958</v>
      </c>
      <c r="K29" s="3">
        <f>(SIN(I29/2+pi()/6))/(SIN(pi()/6))</f>
        <v>1.525336659</v>
      </c>
      <c r="L29" s="3">
        <f>COS(I29/2+pi()/6)*0.5*J29/SIN(pi()/6)</f>
        <v>0.1920663567</v>
      </c>
    </row>
    <row r="30">
      <c r="A30" s="2">
        <v>336.1</v>
      </c>
      <c r="B30" s="2">
        <v>296.3</v>
      </c>
      <c r="C30" s="3">
        <f t="shared" si="5"/>
        <v>0.6946410423</v>
      </c>
      <c r="D30" s="3">
        <f t="shared" si="6"/>
        <v>1.529842802</v>
      </c>
    </row>
    <row r="31">
      <c r="A31" s="2">
        <v>307.0</v>
      </c>
      <c r="B31" s="2">
        <v>267.4</v>
      </c>
      <c r="C31" s="3">
        <f t="shared" si="5"/>
        <v>0.6911503838</v>
      </c>
      <c r="D31" s="3">
        <f t="shared" si="6"/>
        <v>1.527592057</v>
      </c>
    </row>
    <row r="32">
      <c r="A32" s="2">
        <v>291.0</v>
      </c>
      <c r="B32" s="2">
        <v>251.5</v>
      </c>
      <c r="C32" s="3">
        <f t="shared" si="5"/>
        <v>0.6894050545</v>
      </c>
      <c r="D32" s="3">
        <f t="shared" si="6"/>
        <v>1.52646494</v>
      </c>
    </row>
    <row r="33">
      <c r="A33" s="2">
        <v>329.9</v>
      </c>
      <c r="B33" s="2">
        <v>291.5</v>
      </c>
      <c r="C33" s="3">
        <f t="shared" si="5"/>
        <v>0.6702064328</v>
      </c>
      <c r="D33" s="3">
        <f t="shared" si="6"/>
        <v>1.513990111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37</v>
      </c>
      <c r="B1" s="2" t="s">
        <v>38</v>
      </c>
    </row>
    <row r="2">
      <c r="A2" s="2">
        <v>182.8</v>
      </c>
      <c r="B2" s="2">
        <v>143.7</v>
      </c>
    </row>
    <row r="3">
      <c r="A3" s="2">
        <v>328.1</v>
      </c>
      <c r="B3" s="2">
        <v>287.6</v>
      </c>
    </row>
    <row r="4">
      <c r="A4" s="2">
        <v>311.3</v>
      </c>
      <c r="B4" s="2">
        <v>272.7</v>
      </c>
    </row>
    <row r="5">
      <c r="A5" s="2">
        <v>294.4</v>
      </c>
      <c r="B5" s="2">
        <v>255.8</v>
      </c>
    </row>
    <row r="6">
      <c r="A6" s="2">
        <v>215.0</v>
      </c>
      <c r="B6" s="2">
        <v>176.4</v>
      </c>
    </row>
    <row r="7">
      <c r="A7" s="2">
        <v>198.0</v>
      </c>
      <c r="B7" s="2">
        <v>159.2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37</v>
      </c>
      <c r="B1" s="2" t="s">
        <v>38</v>
      </c>
    </row>
    <row r="2">
      <c r="A2" s="2">
        <v>280.9</v>
      </c>
      <c r="B2" s="2">
        <v>242.4</v>
      </c>
    </row>
    <row r="3">
      <c r="A3" s="2">
        <v>280.6</v>
      </c>
      <c r="B3" s="2">
        <v>240.3</v>
      </c>
    </row>
    <row r="4">
      <c r="A4" s="2">
        <v>344.4</v>
      </c>
      <c r="B4" s="2">
        <v>305.9</v>
      </c>
    </row>
    <row r="5">
      <c r="A5" s="2">
        <v>312.5</v>
      </c>
      <c r="B5" s="2">
        <v>274.0</v>
      </c>
    </row>
    <row r="6">
      <c r="A6" s="2">
        <v>293.0</v>
      </c>
      <c r="B6" s="2">
        <v>254.6</v>
      </c>
    </row>
    <row r="7">
      <c r="A7" s="2">
        <v>305.2</v>
      </c>
      <c r="B7" s="2">
        <v>266.8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37</v>
      </c>
      <c r="B1" s="2" t="s">
        <v>38</v>
      </c>
    </row>
    <row r="2">
      <c r="A2" s="2">
        <f>11.7+360</f>
        <v>371.7</v>
      </c>
      <c r="B2" s="2">
        <v>332.3</v>
      </c>
    </row>
    <row r="3">
      <c r="A3" s="2">
        <v>353.0</v>
      </c>
      <c r="B3" s="2">
        <v>313.3</v>
      </c>
    </row>
    <row r="4">
      <c r="A4" s="2">
        <v>336.1</v>
      </c>
      <c r="B4" s="2">
        <v>296.3</v>
      </c>
    </row>
    <row r="5">
      <c r="A5" s="2">
        <v>307.0</v>
      </c>
      <c r="B5" s="2">
        <v>267.4</v>
      </c>
    </row>
    <row r="6">
      <c r="A6" s="2">
        <v>291.0</v>
      </c>
      <c r="B6" s="2">
        <v>251.5</v>
      </c>
    </row>
    <row r="7">
      <c r="A7" s="2">
        <v>329.9</v>
      </c>
      <c r="B7" s="2">
        <v>291.5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f>589.3 *10^(-9)</f>
        <v>0.0000005893</v>
      </c>
      <c r="H1" s="12" t="s">
        <v>25</v>
      </c>
      <c r="I1" s="2" t="s">
        <v>26</v>
      </c>
      <c r="J1" s="3">
        <f>656.3 *10^(-9)</f>
        <v>0.0000006563</v>
      </c>
      <c r="O1" s="13" t="s">
        <v>31</v>
      </c>
      <c r="P1" s="2" t="s">
        <v>32</v>
      </c>
      <c r="Q1" s="3">
        <f>486.1 *10^(-9)</f>
        <v>0.0000004861</v>
      </c>
    </row>
    <row r="2">
      <c r="A2" s="4" t="s">
        <v>39</v>
      </c>
      <c r="B2" s="4" t="s">
        <v>40</v>
      </c>
      <c r="C2" s="4" t="s">
        <v>41</v>
      </c>
      <c r="D2" s="2" t="s">
        <v>42</v>
      </c>
      <c r="E2" s="2" t="s">
        <v>43</v>
      </c>
      <c r="F2" s="2" t="s">
        <v>5</v>
      </c>
      <c r="H2" s="4" t="s">
        <v>39</v>
      </c>
      <c r="I2" s="4" t="s">
        <v>40</v>
      </c>
      <c r="J2" s="4" t="s">
        <v>41</v>
      </c>
      <c r="K2" s="2" t="s">
        <v>42</v>
      </c>
      <c r="L2" s="2" t="s">
        <v>43</v>
      </c>
      <c r="M2" s="2" t="s">
        <v>30</v>
      </c>
      <c r="O2" s="4" t="s">
        <v>39</v>
      </c>
      <c r="P2" s="4" t="s">
        <v>40</v>
      </c>
      <c r="Q2" s="4" t="s">
        <v>41</v>
      </c>
      <c r="R2" s="2" t="s">
        <v>42</v>
      </c>
      <c r="S2" s="2" t="s">
        <v>43</v>
      </c>
      <c r="T2" s="2" t="s">
        <v>36</v>
      </c>
    </row>
    <row r="3">
      <c r="A3" s="2">
        <v>327.9</v>
      </c>
      <c r="B3" s="2">
        <f>21+360</f>
        <v>381</v>
      </c>
      <c r="C3" s="2">
        <v>324.5</v>
      </c>
      <c r="D3" s="3">
        <f>(B3-A3)*pi()/180</f>
        <v>0.9267698328</v>
      </c>
      <c r="E3" s="3">
        <f>(A3-C3)*pi()/180</f>
        <v>0.05934119457</v>
      </c>
      <c r="F3" s="3">
        <f t="shared" ref="F3:F5" si="4">SQRT(SUMSQ(SIN(E3),(SIN(D3-E3+pi()/3)+SIN(E3)*cos(pi()/3))/(SIN(pi()/3))))</f>
        <v>1.122924299</v>
      </c>
      <c r="K3" s="3">
        <f t="shared" ref="K3:L3" si="1">(H3-I3)*pi()/180</f>
        <v>0</v>
      </c>
      <c r="L3" s="3">
        <f t="shared" si="1"/>
        <v>0</v>
      </c>
      <c r="M3" s="3">
        <f t="shared" ref="M3:M5" si="6">SQRT(SUMSQ(SIN(L3),(SIN(K3-L3+pi()/3)+SIN(L3)*cos(pi()/3))/(SIN(pi()/3))))</f>
        <v>1</v>
      </c>
      <c r="R3" s="3">
        <f t="shared" ref="R3:S3" si="2">(O3-P3)*pi()/180</f>
        <v>0</v>
      </c>
      <c r="S3" s="3">
        <f t="shared" si="2"/>
        <v>0</v>
      </c>
      <c r="T3" s="3">
        <f t="shared" ref="T3:T5" si="8">SQRT(SUMSQ(SIN(S3),(SIN(R3-S3+pi()/3)+SIN(S3)*cos(pi()/3))/(SIN(pi()/3))))</f>
        <v>1</v>
      </c>
    </row>
    <row r="4">
      <c r="A4" s="14">
        <v>143.7</v>
      </c>
      <c r="B4" s="14">
        <v>21.0</v>
      </c>
      <c r="C4" s="14">
        <v>324.5</v>
      </c>
      <c r="D4" s="15">
        <f t="shared" ref="D4:E4" si="3">(A4-B4)*pi()/180</f>
        <v>2.141518992</v>
      </c>
      <c r="E4" s="15">
        <f t="shared" si="3"/>
        <v>-5.29707428</v>
      </c>
      <c r="F4" s="15">
        <f t="shared" si="4"/>
        <v>1.640919772</v>
      </c>
      <c r="K4" s="3">
        <f t="shared" ref="K4:L4" si="5">(H4-I4)*pi()/180</f>
        <v>0</v>
      </c>
      <c r="L4" s="3">
        <f t="shared" si="5"/>
        <v>0</v>
      </c>
      <c r="M4" s="3">
        <f t="shared" si="6"/>
        <v>1</v>
      </c>
      <c r="R4" s="3">
        <f t="shared" ref="R4:S4" si="7">(O4-P4)*pi()/180</f>
        <v>0</v>
      </c>
      <c r="S4" s="3">
        <f t="shared" si="7"/>
        <v>0</v>
      </c>
      <c r="T4" s="3">
        <f t="shared" si="8"/>
        <v>1</v>
      </c>
    </row>
    <row r="5">
      <c r="A5" s="2">
        <v>285.1</v>
      </c>
      <c r="B5" s="2">
        <v>325.2</v>
      </c>
      <c r="C5" s="2">
        <v>324.5</v>
      </c>
      <c r="D5" s="3">
        <f>(A5-B5)*pi()/180</f>
        <v>-0.69987703</v>
      </c>
      <c r="E5" s="3">
        <f>(A5-C5)*pi()/180</f>
        <v>-0.6876597253</v>
      </c>
      <c r="F5" s="3">
        <f t="shared" si="4"/>
        <v>0.8917804511</v>
      </c>
      <c r="K5" s="3">
        <f t="shared" ref="K5:L5" si="9">(H5-I5)*pi()/180</f>
        <v>0</v>
      </c>
      <c r="L5" s="3">
        <f t="shared" si="9"/>
        <v>0</v>
      </c>
      <c r="M5" s="3">
        <f t="shared" si="6"/>
        <v>1</v>
      </c>
      <c r="R5" s="3">
        <f t="shared" ref="R5:S5" si="10">(O5-P5)*pi()/180</f>
        <v>0</v>
      </c>
      <c r="S5" s="3">
        <f t="shared" si="10"/>
        <v>0</v>
      </c>
      <c r="T5" s="3">
        <f t="shared" si="8"/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f>589.3 *10^(-9)</f>
        <v>0.0000005893</v>
      </c>
      <c r="H1" s="12" t="s">
        <v>25</v>
      </c>
      <c r="I1" s="2" t="s">
        <v>26</v>
      </c>
      <c r="J1" s="3">
        <f>656.3 *10^(-9)</f>
        <v>0.0000006563</v>
      </c>
      <c r="O1" s="13" t="s">
        <v>31</v>
      </c>
      <c r="P1" s="2" t="s">
        <v>32</v>
      </c>
      <c r="Q1" s="3">
        <f>486.1 *10^(-9)</f>
        <v>0.0000004861</v>
      </c>
    </row>
    <row r="2">
      <c r="A2" s="4" t="s">
        <v>39</v>
      </c>
      <c r="B2" s="4" t="s">
        <v>40</v>
      </c>
      <c r="C2" s="4" t="s">
        <v>41</v>
      </c>
      <c r="D2" s="2" t="s">
        <v>44</v>
      </c>
      <c r="E2" s="2" t="s">
        <v>45</v>
      </c>
      <c r="H2" s="4" t="s">
        <v>39</v>
      </c>
      <c r="I2" s="4" t="s">
        <v>40</v>
      </c>
      <c r="J2" s="4" t="s">
        <v>41</v>
      </c>
      <c r="K2" s="2" t="s">
        <v>44</v>
      </c>
      <c r="L2" s="2" t="s">
        <v>45</v>
      </c>
      <c r="O2" s="4" t="s">
        <v>39</v>
      </c>
      <c r="P2" s="4" t="s">
        <v>40</v>
      </c>
      <c r="Q2" s="4" t="s">
        <v>41</v>
      </c>
      <c r="R2" s="2" t="s">
        <v>44</v>
      </c>
      <c r="S2" s="2" t="s">
        <v>45</v>
      </c>
    </row>
    <row r="3">
      <c r="D3" s="3">
        <f t="shared" ref="D3:E3" si="1">(A3-B3)*pi()/180</f>
        <v>0</v>
      </c>
      <c r="E3" s="3">
        <f t="shared" si="1"/>
        <v>0</v>
      </c>
      <c r="K3" s="3">
        <f t="shared" ref="K3:L3" si="2">(H3-I3)*pi()/180</f>
        <v>0</v>
      </c>
      <c r="L3" s="3">
        <f t="shared" si="2"/>
        <v>0</v>
      </c>
      <c r="R3" s="3">
        <f t="shared" ref="R3:S3" si="3">(O3-P3)*pi()/180</f>
        <v>0</v>
      </c>
      <c r="S3" s="3">
        <f t="shared" si="3"/>
        <v>0</v>
      </c>
    </row>
    <row r="4">
      <c r="D4" s="3">
        <f t="shared" ref="D4:E4" si="4">(A4-B4)*pi()/180</f>
        <v>0</v>
      </c>
      <c r="E4" s="3">
        <f t="shared" si="4"/>
        <v>0</v>
      </c>
      <c r="K4" s="3">
        <f t="shared" ref="K4:L4" si="5">(H4-I4)*pi()/180</f>
        <v>0</v>
      </c>
      <c r="L4" s="3">
        <f t="shared" si="5"/>
        <v>0</v>
      </c>
      <c r="R4" s="3">
        <f t="shared" ref="R4:S4" si="6">(O4-P4)*pi()/180</f>
        <v>0</v>
      </c>
      <c r="S4" s="3">
        <f t="shared" si="6"/>
        <v>0</v>
      </c>
    </row>
    <row r="5">
      <c r="D5" s="3">
        <f t="shared" ref="D5:E5" si="7">(A5-B5)*pi()/180</f>
        <v>0</v>
      </c>
      <c r="E5" s="3">
        <f t="shared" si="7"/>
        <v>0</v>
      </c>
      <c r="K5" s="3">
        <f t="shared" ref="K5:L5" si="8">(H5-I5)*pi()/180</f>
        <v>0</v>
      </c>
      <c r="L5" s="3">
        <f t="shared" si="8"/>
        <v>0</v>
      </c>
      <c r="R5" s="3">
        <f t="shared" ref="R5:S5" si="9">(O5-P5)*pi()/180</f>
        <v>0</v>
      </c>
      <c r="S5" s="3">
        <f t="shared" si="9"/>
        <v>0</v>
      </c>
    </row>
    <row r="6">
      <c r="D6" s="3">
        <f t="shared" ref="D6:E6" si="10">(A6-B6)*pi()/180</f>
        <v>0</v>
      </c>
      <c r="E6" s="3">
        <f t="shared" si="10"/>
        <v>0</v>
      </c>
      <c r="K6" s="3">
        <f t="shared" ref="K6:L6" si="11">(H6-I6)*pi()/180</f>
        <v>0</v>
      </c>
      <c r="L6" s="3">
        <f t="shared" si="11"/>
        <v>0</v>
      </c>
      <c r="R6" s="3">
        <f t="shared" ref="R6:S6" si="12">(O6-P6)*pi()/180</f>
        <v>0</v>
      </c>
      <c r="S6" s="3">
        <f t="shared" si="12"/>
        <v>0</v>
      </c>
    </row>
    <row r="7">
      <c r="D7" s="3">
        <f t="shared" ref="D7:E7" si="13">(A7-B7)*pi()/180</f>
        <v>0</v>
      </c>
      <c r="E7" s="3">
        <f t="shared" si="13"/>
        <v>0</v>
      </c>
      <c r="K7" s="3">
        <f t="shared" ref="K7:L7" si="14">(H7-I7)*pi()/180</f>
        <v>0</v>
      </c>
      <c r="L7" s="3">
        <f t="shared" si="14"/>
        <v>0</v>
      </c>
      <c r="R7" s="3">
        <f t="shared" ref="R7:S7" si="15">(O7-P7)*pi()/180</f>
        <v>0</v>
      </c>
      <c r="S7" s="3">
        <f t="shared" si="15"/>
        <v>0</v>
      </c>
    </row>
  </sheetData>
  <drawing r:id="rId1"/>
</worksheet>
</file>