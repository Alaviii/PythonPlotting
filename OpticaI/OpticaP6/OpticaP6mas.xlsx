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\PyCharmMiscProject\"/>
    </mc:Choice>
  </mc:AlternateContent>
  <xr:revisionPtr revIDLastSave="0" documentId="8_{CB9FB82A-4737-474E-98D2-4F4A4081D7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CHELSON" sheetId="1" r:id="rId1"/>
    <sheet name="MICHELSONFORMATTED" sheetId="2" r:id="rId2"/>
    <sheet name="FABRY-PERO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F20" i="3" s="1"/>
  <c r="G20" i="3" s="1"/>
  <c r="H20" i="3" s="1"/>
  <c r="D19" i="3"/>
  <c r="F19" i="3" s="1"/>
  <c r="G19" i="3" s="1"/>
  <c r="H19" i="3" s="1"/>
  <c r="D18" i="3"/>
  <c r="F18" i="3" s="1"/>
  <c r="G18" i="3" s="1"/>
  <c r="H18" i="3" s="1"/>
  <c r="F17" i="3"/>
  <c r="G17" i="3" s="1"/>
  <c r="H17" i="3" s="1"/>
  <c r="D17" i="3"/>
  <c r="G16" i="3"/>
  <c r="H16" i="3" s="1"/>
  <c r="F16" i="3"/>
  <c r="D16" i="3"/>
  <c r="G15" i="3"/>
  <c r="H15" i="3" s="1"/>
  <c r="F15" i="3"/>
  <c r="D15" i="3"/>
  <c r="F14" i="3"/>
  <c r="G14" i="3" s="1"/>
  <c r="H14" i="3" s="1"/>
  <c r="D14" i="3"/>
  <c r="G13" i="3"/>
  <c r="H13" i="3" s="1"/>
  <c r="F13" i="3"/>
  <c r="D13" i="3"/>
  <c r="G12" i="3"/>
  <c r="H12" i="3" s="1"/>
  <c r="F12" i="3"/>
  <c r="D12" i="3"/>
  <c r="F11" i="3"/>
  <c r="G11" i="3" s="1"/>
  <c r="H11" i="3" s="1"/>
  <c r="D11" i="3"/>
  <c r="G10" i="3"/>
  <c r="H10" i="3" s="1"/>
  <c r="F10" i="3"/>
  <c r="D10" i="3"/>
  <c r="G9" i="3"/>
  <c r="H9" i="3" s="1"/>
  <c r="F9" i="3"/>
  <c r="D9" i="3"/>
  <c r="F8" i="3"/>
  <c r="G8" i="3" s="1"/>
  <c r="H8" i="3" s="1"/>
  <c r="D8" i="3"/>
  <c r="G7" i="3"/>
  <c r="H7" i="3" s="1"/>
  <c r="F7" i="3"/>
  <c r="D7" i="3"/>
  <c r="G6" i="3"/>
  <c r="H6" i="3" s="1"/>
  <c r="F6" i="3"/>
  <c r="D6" i="3"/>
  <c r="F5" i="3"/>
  <c r="G5" i="3" s="1"/>
  <c r="H5" i="3" s="1"/>
  <c r="D5" i="3"/>
  <c r="D118" i="1"/>
  <c r="D117" i="1"/>
  <c r="D116" i="1"/>
  <c r="D115" i="1"/>
  <c r="F115" i="1" s="1"/>
  <c r="D114" i="1"/>
  <c r="D113" i="1"/>
  <c r="D112" i="1"/>
  <c r="D111" i="1"/>
  <c r="D110" i="1"/>
  <c r="F110" i="1" s="1"/>
  <c r="D109" i="1"/>
  <c r="D108" i="1"/>
  <c r="D107" i="1"/>
  <c r="D106" i="1"/>
  <c r="D105" i="1"/>
  <c r="F105" i="1" s="1"/>
  <c r="D104" i="1"/>
  <c r="D103" i="1"/>
  <c r="D102" i="1"/>
  <c r="D101" i="1"/>
  <c r="D100" i="1"/>
  <c r="F100" i="1" s="1"/>
  <c r="D99" i="1"/>
  <c r="D98" i="1"/>
  <c r="D97" i="1"/>
  <c r="D96" i="1"/>
  <c r="D95" i="1"/>
  <c r="F95" i="1" s="1"/>
  <c r="D94" i="1"/>
  <c r="D93" i="1"/>
  <c r="D92" i="1"/>
  <c r="D91" i="1"/>
  <c r="D90" i="1"/>
  <c r="F90" i="1" s="1"/>
  <c r="D89" i="1"/>
  <c r="D88" i="1"/>
  <c r="D87" i="1"/>
  <c r="D86" i="1"/>
  <c r="D85" i="1"/>
  <c r="F85" i="1" s="1"/>
  <c r="D84" i="1"/>
  <c r="D83" i="1"/>
  <c r="D82" i="1"/>
  <c r="D81" i="1"/>
  <c r="D80" i="1"/>
  <c r="F80" i="1" s="1"/>
  <c r="D79" i="1"/>
  <c r="D78" i="1"/>
  <c r="D77" i="1"/>
  <c r="D76" i="1"/>
  <c r="D75" i="1"/>
  <c r="F75" i="1" s="1"/>
  <c r="D74" i="1"/>
  <c r="D73" i="1"/>
  <c r="D72" i="1"/>
  <c r="D71" i="1"/>
  <c r="D70" i="1"/>
  <c r="F70" i="1" s="1"/>
  <c r="D69" i="1"/>
  <c r="D68" i="1"/>
  <c r="D67" i="1"/>
  <c r="D66" i="1"/>
  <c r="D65" i="1"/>
  <c r="F65" i="1" s="1"/>
  <c r="D64" i="1"/>
  <c r="D63" i="1"/>
  <c r="D62" i="1"/>
  <c r="D61" i="1"/>
  <c r="D60" i="1"/>
  <c r="F60" i="1" s="1"/>
  <c r="D59" i="1"/>
  <c r="D58" i="1"/>
  <c r="D57" i="1"/>
  <c r="D56" i="1"/>
  <c r="D55" i="1"/>
  <c r="F55" i="1" s="1"/>
  <c r="D54" i="1"/>
  <c r="D53" i="1"/>
  <c r="D52" i="1"/>
  <c r="D51" i="1"/>
  <c r="D50" i="1"/>
  <c r="F50" i="1" s="1"/>
  <c r="D49" i="1"/>
  <c r="D48" i="1"/>
  <c r="D47" i="1"/>
  <c r="D46" i="1"/>
  <c r="D45" i="1"/>
  <c r="F45" i="1" s="1"/>
  <c r="D44" i="1"/>
  <c r="D43" i="1"/>
  <c r="D42" i="1"/>
  <c r="D41" i="1"/>
  <c r="D40" i="1"/>
  <c r="F40" i="1" s="1"/>
  <c r="D39" i="1"/>
  <c r="D38" i="1"/>
  <c r="D37" i="1"/>
  <c r="D36" i="1"/>
  <c r="D35" i="1"/>
  <c r="F35" i="1" s="1"/>
  <c r="D34" i="1"/>
  <c r="D33" i="1"/>
  <c r="D32" i="1"/>
  <c r="D31" i="1"/>
  <c r="D30" i="1"/>
  <c r="F30" i="1" s="1"/>
  <c r="D28" i="1"/>
  <c r="D27" i="1"/>
  <c r="F26" i="1"/>
  <c r="D26" i="1"/>
  <c r="D24" i="1"/>
  <c r="D23" i="1"/>
  <c r="D22" i="1"/>
  <c r="F21" i="1"/>
  <c r="D21" i="1"/>
</calcChain>
</file>

<file path=xl/sharedStrings.xml><?xml version="1.0" encoding="utf-8"?>
<sst xmlns="http://schemas.openxmlformats.org/spreadsheetml/2006/main" count="45" uniqueCount="45">
  <si>
    <t>Láser He-Ne</t>
  </si>
  <si>
    <t>Sensibilidad manómetro digital (mbar)</t>
  </si>
  <si>
    <t>Longitud cámara (mm)</t>
  </si>
  <si>
    <t>máx emisión (nm)</t>
  </si>
  <si>
    <t>1) Observación configuración al extraer aire</t>
  </si>
  <si>
    <t>Sumidero - disminuye dif de camino óptico</t>
  </si>
  <si>
    <t>Brazo largo</t>
  </si>
  <si>
    <t>fuente de error: cambio de ta, cambia presion</t>
  </si>
  <si>
    <t>2) Variación índice de refracción con la presión</t>
  </si>
  <si>
    <t>Valor presión estabilizada (mbar)</t>
  </si>
  <si>
    <t>Nº anillos que surgen/desaparecen</t>
  </si>
  <si>
    <t>Presión (mbar)</t>
  </si>
  <si>
    <t>Δm</t>
  </si>
  <si>
    <t>Δn</t>
  </si>
  <si>
    <t>Midiendo desde el reposo</t>
  </si>
  <si>
    <t>Midiendo desde el punto en el que deja de verse negro</t>
  </si>
  <si>
    <t>Midiendo de menos presion a mas el momeneto en el que aparece un anillo rojo</t>
  </si>
  <si>
    <t>Serie 4</t>
  </si>
  <si>
    <t>Serie 5</t>
  </si>
  <si>
    <t>Serie 6</t>
  </si>
  <si>
    <t>Serie 7</t>
  </si>
  <si>
    <t>Serie 8</t>
  </si>
  <si>
    <t>Serie 9</t>
  </si>
  <si>
    <t>Serie 10</t>
  </si>
  <si>
    <t>Serie 11</t>
  </si>
  <si>
    <t>Serie 12</t>
  </si>
  <si>
    <t>Serie 13</t>
  </si>
  <si>
    <t>Serie 14</t>
  </si>
  <si>
    <t>Sensibilidad tornillo micrométrico</t>
  </si>
  <si>
    <t>TEORIA</t>
  </si>
  <si>
    <t>0,01mm</t>
  </si>
  <si>
    <t>Valor inicial tornillo (mm)</t>
  </si>
  <si>
    <t>Lectura gruesa tornillo (mm)</t>
  </si>
  <si>
    <t>Lectura fina tornillo (mm)</t>
  </si>
  <si>
    <t>Lectura tornillo</t>
  </si>
  <si>
    <t>Nº anillos aparecen (Δm)</t>
  </si>
  <si>
    <t>Δd medido (mm)</t>
  </si>
  <si>
    <t>Δd reducido (mm)</t>
  </si>
  <si>
    <t>λ (nm)</t>
  </si>
  <si>
    <t>descartamos los datos en rosa porque el microm ha deslizado y sale mal</t>
  </si>
  <si>
    <t>en general sale mal porque el trasto está roto</t>
  </si>
  <si>
    <t>Pup</t>
  </si>
  <si>
    <t>DeltaMup</t>
  </si>
  <si>
    <t>Pdown</t>
  </si>
  <si>
    <t>DeltaMdown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</si>
</sst>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0" borderId="0" xfId="0" applyFont="1"/>
    <xf numFmtId="0" fontId="2" fillId="3" borderId="0" xfId="0" applyFont="1" applyFill="1"/>
    <xf numFmtId="11" fontId="2" fillId="0" borderId="0" xfId="0" applyNumberFormat="1" applyFont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MICHELSON!$B$21:$B$23</c:f>
              <c:numCache>
                <c:formatCode>General</c:formatCode>
                <c:ptCount val="3"/>
                <c:pt idx="0">
                  <c:v>946</c:v>
                </c:pt>
                <c:pt idx="1">
                  <c:v>830</c:v>
                </c:pt>
                <c:pt idx="2">
                  <c:v>715</c:v>
                </c:pt>
              </c:numCache>
            </c:numRef>
          </c:xVal>
          <c:yVal>
            <c:numRef>
              <c:f>MICHELSON!$D$21:$D$23</c:f>
              <c:numCache>
                <c:formatCode>General</c:formatCode>
                <c:ptCount val="3"/>
                <c:pt idx="0">
                  <c:v>0</c:v>
                </c:pt>
                <c:pt idx="1">
                  <c:v>-3.1640000000000002E-5</c:v>
                </c:pt>
                <c:pt idx="2">
                  <c:v>-6.3280000000000004E-5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02-4B60-BDA0-35CAA4566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57700"/>
        <c:axId val="1612907434"/>
      </c:scatterChart>
      <c:valAx>
        <c:axId val="190357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12907434"/>
        <c:crosses val="autoZero"/>
        <c:crossBetween val="midCat"/>
      </c:valAx>
      <c:valAx>
        <c:axId val="1612907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03577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692-420E-8FA8-943584F710CC}"/>
              </c:ext>
            </c:extLst>
          </c:dPt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MICHELSON!$B$26:$B$28</c:f>
              <c:numCache>
                <c:formatCode>General</c:formatCode>
                <c:ptCount val="3"/>
                <c:pt idx="0">
                  <c:v>870</c:v>
                </c:pt>
                <c:pt idx="1">
                  <c:v>760</c:v>
                </c:pt>
                <c:pt idx="2">
                  <c:v>647</c:v>
                </c:pt>
              </c:numCache>
            </c:numRef>
          </c:xVal>
          <c:yVal>
            <c:numRef>
              <c:f>MICHELSON!$D$26:$D$28</c:f>
              <c:numCache>
                <c:formatCode>General</c:formatCode>
                <c:ptCount val="3"/>
                <c:pt idx="0">
                  <c:v>0</c:v>
                </c:pt>
                <c:pt idx="1">
                  <c:v>-3.1640000000000002E-5</c:v>
                </c:pt>
                <c:pt idx="2">
                  <c:v>-6.3280000000000004E-5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2-420E-8FA8-943584F71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493607"/>
        <c:axId val="180941326"/>
      </c:scatterChart>
      <c:valAx>
        <c:axId val="1998493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0941326"/>
        <c:crosses val="autoZero"/>
        <c:crossBetween val="midCat"/>
      </c:valAx>
      <c:valAx>
        <c:axId val="180941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9849360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E31-4469-A50F-6B63732DEACE}"/>
              </c:ext>
            </c:extLst>
          </c:dPt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MICHELSON!$B$30:$B$33</c:f>
              <c:numCache>
                <c:formatCode>General</c:formatCode>
                <c:ptCount val="4"/>
                <c:pt idx="0">
                  <c:v>525</c:v>
                </c:pt>
                <c:pt idx="1">
                  <c:v>640</c:v>
                </c:pt>
                <c:pt idx="2">
                  <c:v>756</c:v>
                </c:pt>
                <c:pt idx="3">
                  <c:v>870</c:v>
                </c:pt>
              </c:numCache>
            </c:numRef>
          </c:xVal>
          <c:yVal>
            <c:numRef>
              <c:f>MICHELSON!$D$30:$D$33</c:f>
              <c:numCache>
                <c:formatCode>General</c:formatCode>
                <c:ptCount val="4"/>
                <c:pt idx="0">
                  <c:v>0</c:v>
                </c:pt>
                <c:pt idx="1">
                  <c:v>3.1640000000000002E-5</c:v>
                </c:pt>
                <c:pt idx="2">
                  <c:v>6.3280000000000004E-5</c:v>
                </c:pt>
                <c:pt idx="3">
                  <c:v>9.4919999999999992E-5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31-4469-A50F-6B63732D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433663"/>
        <c:axId val="1255099951"/>
      </c:scatterChart>
      <c:valAx>
        <c:axId val="8434336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55099951"/>
        <c:crosses val="autoZero"/>
        <c:crossBetween val="midCat"/>
      </c:valAx>
      <c:valAx>
        <c:axId val="125509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4343366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95250</xdr:colOff>
      <xdr:row>18</xdr:row>
      <xdr:rowOff>104775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704850</xdr:colOff>
      <xdr:row>6</xdr:row>
      <xdr:rowOff>133350</xdr:rowOff>
    </xdr:from>
    <xdr:ext cx="5715000" cy="35337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581025</xdr:colOff>
      <xdr:row>30</xdr:row>
      <xdr:rowOff>57150</xdr:rowOff>
    </xdr:from>
    <xdr:ext cx="5715000" cy="35337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8"/>
  <sheetViews>
    <sheetView zoomScale="70" zoomScaleNormal="70" workbookViewId="0">
      <selection activeCell="F3" sqref="F3"/>
    </sheetView>
  </sheetViews>
  <sheetFormatPr baseColWidth="10" defaultColWidth="12.6640625" defaultRowHeight="15.75" customHeight="1" x14ac:dyDescent="0.25"/>
  <cols>
    <col min="1" max="1" width="29.77734375" customWidth="1"/>
    <col min="3" max="3" width="28.21875" customWidth="1"/>
  </cols>
  <sheetData>
    <row r="1" spans="1:5" x14ac:dyDescent="0.25">
      <c r="A1" s="1" t="s">
        <v>0</v>
      </c>
      <c r="B1" s="2"/>
      <c r="C1" s="3" t="s">
        <v>1</v>
      </c>
      <c r="D1" s="3" t="s">
        <v>2</v>
      </c>
    </row>
    <row r="2" spans="1:5" x14ac:dyDescent="0.25">
      <c r="A2" s="1" t="s">
        <v>3</v>
      </c>
      <c r="B2" s="2">
        <v>632.79999999999995</v>
      </c>
      <c r="C2" s="3">
        <v>1</v>
      </c>
      <c r="D2" s="3">
        <v>10</v>
      </c>
    </row>
    <row r="5" spans="1:5" x14ac:dyDescent="0.25">
      <c r="A5" s="4" t="s">
        <v>4</v>
      </c>
    </row>
    <row r="7" spans="1:5" x14ac:dyDescent="0.25">
      <c r="A7" s="3" t="s">
        <v>5</v>
      </c>
    </row>
    <row r="8" spans="1:5" x14ac:dyDescent="0.25">
      <c r="A8" s="3" t="s">
        <v>6</v>
      </c>
    </row>
    <row r="11" spans="1:5" x14ac:dyDescent="0.25">
      <c r="E11" s="3" t="s">
        <v>7</v>
      </c>
    </row>
    <row r="17" spans="1:6" x14ac:dyDescent="0.25">
      <c r="A17" s="4" t="s">
        <v>8</v>
      </c>
    </row>
    <row r="18" spans="1:6" x14ac:dyDescent="0.25">
      <c r="A18" s="5" t="s">
        <v>9</v>
      </c>
      <c r="B18" s="5">
        <v>946</v>
      </c>
    </row>
    <row r="19" spans="1:6" x14ac:dyDescent="0.25">
      <c r="A19" s="3" t="s">
        <v>10</v>
      </c>
      <c r="B19" s="3" t="s">
        <v>11</v>
      </c>
      <c r="C19" s="3" t="s">
        <v>12</v>
      </c>
      <c r="D19" s="3" t="s">
        <v>13</v>
      </c>
    </row>
    <row r="20" spans="1:6" x14ac:dyDescent="0.25">
      <c r="A20" s="3" t="s">
        <v>14</v>
      </c>
    </row>
    <row r="21" spans="1:6" x14ac:dyDescent="0.25">
      <c r="A21" s="3">
        <v>0</v>
      </c>
      <c r="B21" s="3">
        <v>946</v>
      </c>
      <c r="C21" s="3">
        <v>0</v>
      </c>
      <c r="D21" s="3">
        <f t="shared" ref="D21:D24" si="0">C21*$B$2*10^(-9)/(2*$D$2*10^(-3))</f>
        <v>0</v>
      </c>
      <c r="F21" s="6">
        <f>SLOPE(D21:D24,B21:B24)</f>
        <v>2.7441333217994384E-7</v>
      </c>
    </row>
    <row r="22" spans="1:6" x14ac:dyDescent="0.25">
      <c r="A22" s="3">
        <v>1</v>
      </c>
      <c r="B22" s="3">
        <v>830</v>
      </c>
      <c r="C22" s="3">
        <v>-1</v>
      </c>
      <c r="D22" s="3">
        <f t="shared" si="0"/>
        <v>-3.1640000000000002E-5</v>
      </c>
    </row>
    <row r="23" spans="1:6" x14ac:dyDescent="0.25">
      <c r="A23" s="3">
        <v>2</v>
      </c>
      <c r="B23" s="3">
        <v>715</v>
      </c>
      <c r="C23" s="3">
        <v>-2</v>
      </c>
      <c r="D23" s="3">
        <f t="shared" si="0"/>
        <v>-6.3280000000000004E-5</v>
      </c>
    </row>
    <row r="24" spans="1:6" x14ac:dyDescent="0.25">
      <c r="A24" s="3">
        <v>3</v>
      </c>
      <c r="B24" s="3">
        <v>600</v>
      </c>
      <c r="C24" s="3">
        <v>-3</v>
      </c>
      <c r="D24" s="3">
        <f t="shared" si="0"/>
        <v>-9.4919999999999992E-5</v>
      </c>
    </row>
    <row r="25" spans="1:6" x14ac:dyDescent="0.25">
      <c r="A25" s="3" t="s">
        <v>15</v>
      </c>
    </row>
    <row r="26" spans="1:6" x14ac:dyDescent="0.25">
      <c r="A26" s="3">
        <v>1</v>
      </c>
      <c r="B26" s="3">
        <v>870</v>
      </c>
      <c r="C26" s="3">
        <v>0</v>
      </c>
      <c r="D26" s="3">
        <f t="shared" ref="D26:D28" si="1">C26*$B$2*10^(-9)/(2*$D$2*10^(-3))</f>
        <v>0</v>
      </c>
      <c r="F26" s="6">
        <f>SLOPE(D26:D29,B26:B29)</f>
        <v>2.8374969838333471E-7</v>
      </c>
    </row>
    <row r="27" spans="1:6" x14ac:dyDescent="0.25">
      <c r="A27" s="3">
        <v>2</v>
      </c>
      <c r="B27" s="3">
        <v>760</v>
      </c>
      <c r="C27" s="3">
        <v>-1</v>
      </c>
      <c r="D27" s="3">
        <f t="shared" si="1"/>
        <v>-3.1640000000000002E-5</v>
      </c>
    </row>
    <row r="28" spans="1:6" x14ac:dyDescent="0.25">
      <c r="A28" s="3">
        <v>3</v>
      </c>
      <c r="B28" s="3">
        <v>647</v>
      </c>
      <c r="C28" s="3">
        <v>-2</v>
      </c>
      <c r="D28" s="3">
        <f t="shared" si="1"/>
        <v>-6.3280000000000004E-5</v>
      </c>
    </row>
    <row r="29" spans="1:6" x14ac:dyDescent="0.25">
      <c r="A29" s="3" t="s">
        <v>16</v>
      </c>
    </row>
    <row r="30" spans="1:6" x14ac:dyDescent="0.25">
      <c r="B30" s="3">
        <v>525</v>
      </c>
      <c r="C30" s="3">
        <v>0</v>
      </c>
      <c r="D30" s="3">
        <f t="shared" ref="D30:D118" si="2">C30*$B$2*10^(-9)/(2*$D$2*10^(-3))</f>
        <v>0</v>
      </c>
      <c r="F30" s="6">
        <f>SLOPE(D30:D33,B30:B33)</f>
        <v>2.7488849386518119E-7</v>
      </c>
    </row>
    <row r="31" spans="1:6" x14ac:dyDescent="0.25">
      <c r="B31" s="3">
        <v>640</v>
      </c>
      <c r="C31" s="3">
        <v>1</v>
      </c>
      <c r="D31" s="3">
        <f t="shared" si="2"/>
        <v>3.1640000000000002E-5</v>
      </c>
    </row>
    <row r="32" spans="1:6" x14ac:dyDescent="0.25">
      <c r="B32" s="3">
        <v>756</v>
      </c>
      <c r="C32" s="3">
        <v>2</v>
      </c>
      <c r="D32" s="3">
        <f t="shared" si="2"/>
        <v>6.3280000000000004E-5</v>
      </c>
    </row>
    <row r="33" spans="1:6" x14ac:dyDescent="0.25">
      <c r="B33" s="3">
        <v>870</v>
      </c>
      <c r="C33" s="3">
        <v>3</v>
      </c>
      <c r="D33" s="3">
        <f t="shared" si="2"/>
        <v>9.4919999999999992E-5</v>
      </c>
    </row>
    <row r="34" spans="1:6" x14ac:dyDescent="0.25">
      <c r="A34" s="3" t="s">
        <v>17</v>
      </c>
      <c r="D34" s="3">
        <f t="shared" si="2"/>
        <v>0</v>
      </c>
    </row>
    <row r="35" spans="1:6" x14ac:dyDescent="0.25">
      <c r="A35" s="3">
        <v>0</v>
      </c>
      <c r="B35" s="3">
        <v>886</v>
      </c>
      <c r="C35" s="3">
        <v>0</v>
      </c>
      <c r="D35" s="3">
        <f t="shared" si="2"/>
        <v>0</v>
      </c>
      <c r="F35" s="6">
        <f>SLOPE(D35:D38,B35:B38)</f>
        <v>2.7297485809993484E-7</v>
      </c>
    </row>
    <row r="36" spans="1:6" x14ac:dyDescent="0.25">
      <c r="A36" s="3">
        <v>1</v>
      </c>
      <c r="B36" s="3">
        <v>770</v>
      </c>
      <c r="C36" s="3">
        <v>-1</v>
      </c>
      <c r="D36" s="3">
        <f t="shared" si="2"/>
        <v>-3.1640000000000002E-5</v>
      </c>
    </row>
    <row r="37" spans="1:6" x14ac:dyDescent="0.25">
      <c r="A37" s="3">
        <v>2</v>
      </c>
      <c r="B37" s="3">
        <v>652</v>
      </c>
      <c r="C37" s="3">
        <v>-2</v>
      </c>
      <c r="D37" s="3">
        <f t="shared" si="2"/>
        <v>-6.3280000000000004E-5</v>
      </c>
    </row>
    <row r="38" spans="1:6" x14ac:dyDescent="0.25">
      <c r="A38" s="3">
        <v>3</v>
      </c>
      <c r="B38" s="3">
        <v>539</v>
      </c>
      <c r="C38" s="3">
        <v>-3</v>
      </c>
      <c r="D38" s="3">
        <f t="shared" si="2"/>
        <v>-9.4919999999999992E-5</v>
      </c>
    </row>
    <row r="39" spans="1:6" x14ac:dyDescent="0.25">
      <c r="A39" s="3" t="s">
        <v>18</v>
      </c>
      <c r="D39" s="3">
        <f t="shared" si="2"/>
        <v>0</v>
      </c>
    </row>
    <row r="40" spans="1:6" x14ac:dyDescent="0.25">
      <c r="A40" s="3">
        <v>0</v>
      </c>
      <c r="B40" s="3">
        <v>525</v>
      </c>
      <c r="C40" s="3">
        <v>0</v>
      </c>
      <c r="D40" s="3">
        <f t="shared" si="2"/>
        <v>0</v>
      </c>
      <c r="F40" s="6">
        <f>SLOPE(D40:D43,B40:B43)</f>
        <v>2.6487197464733432E-7</v>
      </c>
    </row>
    <row r="41" spans="1:6" x14ac:dyDescent="0.25">
      <c r="B41" s="3">
        <v>647</v>
      </c>
      <c r="C41" s="3">
        <v>1</v>
      </c>
      <c r="D41" s="3">
        <f t="shared" si="2"/>
        <v>3.1640000000000002E-5</v>
      </c>
    </row>
    <row r="42" spans="1:6" x14ac:dyDescent="0.25">
      <c r="B42" s="3">
        <v>770</v>
      </c>
      <c r="C42" s="3">
        <v>2</v>
      </c>
      <c r="D42" s="3">
        <f t="shared" si="2"/>
        <v>6.3280000000000004E-5</v>
      </c>
    </row>
    <row r="43" spans="1:6" x14ac:dyDescent="0.25">
      <c r="B43" s="3">
        <v>882</v>
      </c>
      <c r="C43" s="3">
        <v>3</v>
      </c>
      <c r="D43" s="3">
        <f t="shared" si="2"/>
        <v>9.4919999999999992E-5</v>
      </c>
    </row>
    <row r="44" spans="1:6" x14ac:dyDescent="0.25">
      <c r="A44" s="3" t="s">
        <v>19</v>
      </c>
      <c r="D44" s="3">
        <f t="shared" si="2"/>
        <v>0</v>
      </c>
    </row>
    <row r="45" spans="1:6" x14ac:dyDescent="0.25">
      <c r="A45" s="3">
        <v>0</v>
      </c>
      <c r="B45" s="3">
        <v>920</v>
      </c>
      <c r="C45" s="3">
        <v>0</v>
      </c>
      <c r="D45" s="3">
        <f t="shared" si="2"/>
        <v>0</v>
      </c>
      <c r="F45" s="6">
        <f>SLOPE(D45:D48,B45:B48)</f>
        <v>2.745155150514656E-7</v>
      </c>
    </row>
    <row r="46" spans="1:6" x14ac:dyDescent="0.25">
      <c r="B46" s="3">
        <v>815</v>
      </c>
      <c r="C46" s="3">
        <v>-1</v>
      </c>
      <c r="D46" s="3">
        <f t="shared" si="2"/>
        <v>-3.1640000000000002E-5</v>
      </c>
    </row>
    <row r="47" spans="1:6" x14ac:dyDescent="0.25">
      <c r="B47" s="3">
        <v>699</v>
      </c>
      <c r="C47" s="3">
        <v>-2</v>
      </c>
      <c r="D47" s="3">
        <f t="shared" si="2"/>
        <v>-6.3280000000000004E-5</v>
      </c>
    </row>
    <row r="48" spans="1:6" x14ac:dyDescent="0.25">
      <c r="B48" s="3">
        <v>575</v>
      </c>
      <c r="C48" s="3">
        <v>-3</v>
      </c>
      <c r="D48" s="3">
        <f t="shared" si="2"/>
        <v>-9.4919999999999992E-5</v>
      </c>
    </row>
    <row r="49" spans="1:6" x14ac:dyDescent="0.25">
      <c r="A49" s="3" t="s">
        <v>20</v>
      </c>
      <c r="D49" s="3">
        <f t="shared" si="2"/>
        <v>0</v>
      </c>
    </row>
    <row r="50" spans="1:6" x14ac:dyDescent="0.25">
      <c r="B50" s="3">
        <v>534</v>
      </c>
      <c r="C50" s="3">
        <v>0</v>
      </c>
      <c r="D50" s="3">
        <f t="shared" si="2"/>
        <v>0</v>
      </c>
      <c r="F50" s="6">
        <f>SLOPE(D50:D53,B50:B53)</f>
        <v>2.6653806984113462E-7</v>
      </c>
    </row>
    <row r="51" spans="1:6" x14ac:dyDescent="0.25">
      <c r="B51" s="3">
        <v>655</v>
      </c>
      <c r="C51" s="3">
        <v>1</v>
      </c>
      <c r="D51" s="3">
        <f t="shared" si="2"/>
        <v>3.1640000000000002E-5</v>
      </c>
    </row>
    <row r="52" spans="1:6" x14ac:dyDescent="0.25">
      <c r="B52" s="3">
        <v>771</v>
      </c>
      <c r="C52" s="3">
        <v>2</v>
      </c>
      <c r="D52" s="3">
        <f t="shared" si="2"/>
        <v>6.3280000000000004E-5</v>
      </c>
    </row>
    <row r="53" spans="1:6" x14ac:dyDescent="0.25">
      <c r="B53" s="3">
        <v>891</v>
      </c>
      <c r="C53" s="3">
        <v>3</v>
      </c>
      <c r="D53" s="3">
        <f t="shared" si="2"/>
        <v>9.4919999999999992E-5</v>
      </c>
    </row>
    <row r="54" spans="1:6" x14ac:dyDescent="0.25">
      <c r="A54" s="3" t="s">
        <v>21</v>
      </c>
      <c r="D54" s="3">
        <f t="shared" si="2"/>
        <v>0</v>
      </c>
    </row>
    <row r="55" spans="1:6" x14ac:dyDescent="0.25">
      <c r="B55" s="3">
        <v>962</v>
      </c>
      <c r="C55" s="3">
        <v>0</v>
      </c>
      <c r="D55" s="3">
        <f t="shared" si="2"/>
        <v>0</v>
      </c>
      <c r="F55" s="6">
        <f>SLOPE(D55:D58,B55:B58)</f>
        <v>2.7668705601524028E-7</v>
      </c>
    </row>
    <row r="56" spans="1:6" x14ac:dyDescent="0.25">
      <c r="B56" s="3">
        <v>853</v>
      </c>
      <c r="C56" s="3">
        <v>-1</v>
      </c>
      <c r="D56" s="3">
        <f t="shared" si="2"/>
        <v>-3.1640000000000002E-5</v>
      </c>
    </row>
    <row r="57" spans="1:6" x14ac:dyDescent="0.25">
      <c r="B57" s="3">
        <v>739</v>
      </c>
      <c r="C57" s="3">
        <v>-2</v>
      </c>
      <c r="D57" s="3">
        <f t="shared" si="2"/>
        <v>-6.3280000000000004E-5</v>
      </c>
    </row>
    <row r="58" spans="1:6" x14ac:dyDescent="0.25">
      <c r="B58" s="3">
        <v>619</v>
      </c>
      <c r="C58" s="3">
        <v>-3</v>
      </c>
      <c r="D58" s="3">
        <f t="shared" si="2"/>
        <v>-9.4919999999999992E-5</v>
      </c>
    </row>
    <row r="59" spans="1:6" x14ac:dyDescent="0.25">
      <c r="A59" s="3" t="s">
        <v>22</v>
      </c>
      <c r="D59" s="3">
        <f t="shared" si="2"/>
        <v>0</v>
      </c>
    </row>
    <row r="60" spans="1:6" x14ac:dyDescent="0.25">
      <c r="B60" s="3">
        <v>556</v>
      </c>
      <c r="C60" s="3">
        <v>0</v>
      </c>
      <c r="D60" s="3">
        <f t="shared" si="2"/>
        <v>0</v>
      </c>
      <c r="F60" s="6">
        <f>SLOPE(D60:D63,B60:B63)</f>
        <v>2.6646242696645155E-7</v>
      </c>
    </row>
    <row r="61" spans="1:6" x14ac:dyDescent="0.25">
      <c r="B61" s="3">
        <v>672</v>
      </c>
      <c r="C61" s="3">
        <v>1</v>
      </c>
      <c r="D61" s="3">
        <f t="shared" si="2"/>
        <v>3.1640000000000002E-5</v>
      </c>
    </row>
    <row r="62" spans="1:6" x14ac:dyDescent="0.25">
      <c r="B62" s="3">
        <v>797</v>
      </c>
      <c r="C62" s="3">
        <v>2</v>
      </c>
      <c r="D62" s="3">
        <f t="shared" si="2"/>
        <v>6.3280000000000004E-5</v>
      </c>
    </row>
    <row r="63" spans="1:6" x14ac:dyDescent="0.25">
      <c r="B63" s="3">
        <v>910</v>
      </c>
      <c r="C63" s="3">
        <v>3</v>
      </c>
      <c r="D63" s="3">
        <f t="shared" si="2"/>
        <v>9.4919999999999992E-5</v>
      </c>
    </row>
    <row r="64" spans="1:6" x14ac:dyDescent="0.25">
      <c r="A64" s="3" t="s">
        <v>23</v>
      </c>
      <c r="D64" s="3">
        <f t="shared" si="2"/>
        <v>0</v>
      </c>
    </row>
    <row r="65" spans="1:6" x14ac:dyDescent="0.25">
      <c r="B65" s="3">
        <v>924</v>
      </c>
      <c r="C65" s="3">
        <v>0</v>
      </c>
      <c r="D65" s="3">
        <f t="shared" si="2"/>
        <v>0</v>
      </c>
      <c r="F65" s="6">
        <f>SLOPE(D65:D68,B65:B68)</f>
        <v>2.6873251429705399E-7</v>
      </c>
    </row>
    <row r="66" spans="1:6" x14ac:dyDescent="0.25">
      <c r="B66" s="3">
        <v>810</v>
      </c>
      <c r="C66" s="3">
        <v>-1</v>
      </c>
      <c r="D66" s="3">
        <f t="shared" si="2"/>
        <v>-3.1640000000000002E-5</v>
      </c>
    </row>
    <row r="67" spans="1:6" x14ac:dyDescent="0.25">
      <c r="B67" s="3">
        <v>686</v>
      </c>
      <c r="C67" s="3">
        <v>-2</v>
      </c>
      <c r="D67" s="3">
        <f t="shared" si="2"/>
        <v>-6.3280000000000004E-5</v>
      </c>
    </row>
    <row r="68" spans="1:6" x14ac:dyDescent="0.25">
      <c r="B68" s="3">
        <v>573</v>
      </c>
      <c r="C68" s="3">
        <v>-3</v>
      </c>
      <c r="D68" s="3">
        <f t="shared" si="2"/>
        <v>-9.4919999999999992E-5</v>
      </c>
    </row>
    <row r="69" spans="1:6" x14ac:dyDescent="0.25">
      <c r="A69" s="3" t="s">
        <v>24</v>
      </c>
      <c r="D69" s="3">
        <f t="shared" si="2"/>
        <v>0</v>
      </c>
    </row>
    <row r="70" spans="1:6" x14ac:dyDescent="0.25">
      <c r="B70" s="3">
        <v>542</v>
      </c>
      <c r="C70" s="3">
        <v>0</v>
      </c>
      <c r="D70" s="3">
        <f t="shared" si="2"/>
        <v>0</v>
      </c>
      <c r="F70" s="6">
        <f>SLOPE(D70:D73,B70:B73)</f>
        <v>2.6344457039062961E-7</v>
      </c>
    </row>
    <row r="71" spans="1:6" x14ac:dyDescent="0.25">
      <c r="B71" s="3">
        <v>662</v>
      </c>
      <c r="C71" s="3">
        <v>1</v>
      </c>
      <c r="D71" s="3">
        <f t="shared" si="2"/>
        <v>3.1640000000000002E-5</v>
      </c>
    </row>
    <row r="72" spans="1:6" x14ac:dyDescent="0.25">
      <c r="B72" s="3">
        <v>783</v>
      </c>
      <c r="C72" s="3">
        <v>2</v>
      </c>
      <c r="D72" s="3">
        <f t="shared" si="2"/>
        <v>6.3280000000000004E-5</v>
      </c>
    </row>
    <row r="73" spans="1:6" x14ac:dyDescent="0.25">
      <c r="B73" s="3">
        <v>902</v>
      </c>
      <c r="C73" s="3">
        <v>3</v>
      </c>
      <c r="D73" s="3">
        <f t="shared" si="2"/>
        <v>9.4919999999999992E-5</v>
      </c>
    </row>
    <row r="74" spans="1:6" x14ac:dyDescent="0.25">
      <c r="A74" s="3" t="s">
        <v>25</v>
      </c>
      <c r="D74" s="3">
        <f t="shared" si="2"/>
        <v>0</v>
      </c>
    </row>
    <row r="75" spans="1:6" x14ac:dyDescent="0.25">
      <c r="B75" s="3">
        <v>532</v>
      </c>
      <c r="C75" s="3">
        <v>0</v>
      </c>
      <c r="D75" s="3">
        <f t="shared" si="2"/>
        <v>0</v>
      </c>
      <c r="F75" s="6">
        <f>SLOPE(D75:D78,B75:B78)</f>
        <v>2.6187760363986711E-7</v>
      </c>
    </row>
    <row r="76" spans="1:6" x14ac:dyDescent="0.25">
      <c r="B76" s="3">
        <v>664</v>
      </c>
      <c r="C76" s="3">
        <v>1</v>
      </c>
      <c r="D76" s="3">
        <f t="shared" si="2"/>
        <v>3.1640000000000002E-5</v>
      </c>
    </row>
    <row r="77" spans="1:6" x14ac:dyDescent="0.25">
      <c r="B77" s="3">
        <v>776</v>
      </c>
      <c r="C77" s="3">
        <v>2</v>
      </c>
      <c r="D77" s="3">
        <f t="shared" si="2"/>
        <v>6.3280000000000004E-5</v>
      </c>
    </row>
    <row r="78" spans="1:6" x14ac:dyDescent="0.25">
      <c r="B78" s="3">
        <v>897</v>
      </c>
      <c r="C78" s="3">
        <v>3</v>
      </c>
      <c r="D78" s="3">
        <f t="shared" si="2"/>
        <v>9.4919999999999992E-5</v>
      </c>
    </row>
    <row r="79" spans="1:6" x14ac:dyDescent="0.25">
      <c r="A79" s="3" t="s">
        <v>26</v>
      </c>
      <c r="D79" s="3">
        <f t="shared" si="2"/>
        <v>0</v>
      </c>
    </row>
    <row r="80" spans="1:6" x14ac:dyDescent="0.25">
      <c r="B80" s="3">
        <v>943</v>
      </c>
      <c r="C80" s="3">
        <v>0</v>
      </c>
      <c r="D80" s="3">
        <f t="shared" si="2"/>
        <v>0</v>
      </c>
      <c r="F80" s="6">
        <f>SLOPE(D80:D83,B80:B83)</f>
        <v>2.7483948938741597E-7</v>
      </c>
    </row>
    <row r="81" spans="1:6" x14ac:dyDescent="0.25">
      <c r="B81" s="3">
        <v>827</v>
      </c>
      <c r="C81" s="3">
        <v>-1</v>
      </c>
      <c r="D81" s="3">
        <f t="shared" si="2"/>
        <v>-3.1640000000000002E-5</v>
      </c>
    </row>
    <row r="82" spans="1:6" x14ac:dyDescent="0.25">
      <c r="B82" s="3">
        <v>721</v>
      </c>
      <c r="C82" s="3">
        <v>-2</v>
      </c>
      <c r="D82" s="3">
        <f t="shared" si="2"/>
        <v>-6.3280000000000004E-5</v>
      </c>
    </row>
    <row r="83" spans="1:6" x14ac:dyDescent="0.25">
      <c r="B83" s="3">
        <v>595</v>
      </c>
      <c r="C83" s="3">
        <v>-3</v>
      </c>
      <c r="D83" s="3">
        <f t="shared" si="2"/>
        <v>-9.4919999999999992E-5</v>
      </c>
    </row>
    <row r="84" spans="1:6" x14ac:dyDescent="0.25">
      <c r="A84" s="3" t="s">
        <v>27</v>
      </c>
      <c r="D84" s="3">
        <f t="shared" si="2"/>
        <v>0</v>
      </c>
    </row>
    <row r="85" spans="1:6" x14ac:dyDescent="0.25">
      <c r="B85" s="3">
        <v>535</v>
      </c>
      <c r="C85" s="3">
        <v>0</v>
      </c>
      <c r="D85" s="3">
        <f t="shared" si="2"/>
        <v>0</v>
      </c>
      <c r="F85" s="6">
        <f>SLOPE(D85:D88,B85:B88)</f>
        <v>2.6671765274500322E-7</v>
      </c>
    </row>
    <row r="86" spans="1:6" x14ac:dyDescent="0.25">
      <c r="B86" s="3">
        <v>659</v>
      </c>
      <c r="C86" s="3">
        <v>1</v>
      </c>
      <c r="D86" s="3">
        <f t="shared" si="2"/>
        <v>3.1640000000000002E-5</v>
      </c>
    </row>
    <row r="87" spans="1:6" x14ac:dyDescent="0.25">
      <c r="B87" s="3">
        <v>774</v>
      </c>
      <c r="C87" s="3">
        <v>2</v>
      </c>
      <c r="D87" s="3">
        <f t="shared" si="2"/>
        <v>6.3280000000000004E-5</v>
      </c>
    </row>
    <row r="88" spans="1:6" x14ac:dyDescent="0.25">
      <c r="B88" s="3">
        <v>892</v>
      </c>
      <c r="C88" s="3">
        <v>3</v>
      </c>
      <c r="D88" s="3">
        <f t="shared" si="2"/>
        <v>9.4919999999999992E-5</v>
      </c>
    </row>
    <row r="89" spans="1:6" x14ac:dyDescent="0.25">
      <c r="D89" s="3">
        <f t="shared" si="2"/>
        <v>0</v>
      </c>
    </row>
    <row r="90" spans="1:6" x14ac:dyDescent="0.25">
      <c r="B90" s="3">
        <v>922</v>
      </c>
      <c r="C90" s="3">
        <v>0</v>
      </c>
      <c r="D90" s="3">
        <f t="shared" si="2"/>
        <v>0</v>
      </c>
      <c r="F90" s="6">
        <f>SLOPE(D90:D93,B90:B93)</f>
        <v>2.663943850788933E-7</v>
      </c>
    </row>
    <row r="91" spans="1:6" x14ac:dyDescent="0.25">
      <c r="B91" s="3">
        <v>797</v>
      </c>
      <c r="C91" s="3">
        <v>-1</v>
      </c>
      <c r="D91" s="3">
        <f t="shared" si="2"/>
        <v>-3.1640000000000002E-5</v>
      </c>
    </row>
    <row r="92" spans="1:6" x14ac:dyDescent="0.25">
      <c r="B92" s="3">
        <v>687</v>
      </c>
      <c r="C92" s="3">
        <v>-2</v>
      </c>
      <c r="D92" s="3">
        <f t="shared" si="2"/>
        <v>-6.3280000000000004E-5</v>
      </c>
    </row>
    <row r="93" spans="1:6" x14ac:dyDescent="0.25">
      <c r="B93" s="3">
        <v>563</v>
      </c>
      <c r="C93" s="3">
        <v>-3</v>
      </c>
      <c r="D93" s="3">
        <f t="shared" si="2"/>
        <v>-9.4919999999999992E-5</v>
      </c>
    </row>
    <row r="94" spans="1:6" x14ac:dyDescent="0.25">
      <c r="D94" s="3">
        <f t="shared" si="2"/>
        <v>0</v>
      </c>
    </row>
    <row r="95" spans="1:6" x14ac:dyDescent="0.25">
      <c r="B95" s="3">
        <v>528</v>
      </c>
      <c r="C95" s="3">
        <v>0</v>
      </c>
      <c r="D95" s="3">
        <f t="shared" si="2"/>
        <v>0</v>
      </c>
      <c r="F95" s="6">
        <f>SLOPE(D95:D98,B95:B98)</f>
        <v>2.6813559322033896E-7</v>
      </c>
    </row>
    <row r="96" spans="1:6" x14ac:dyDescent="0.25">
      <c r="B96" s="3">
        <v>646</v>
      </c>
      <c r="C96" s="3">
        <v>1</v>
      </c>
      <c r="D96" s="3">
        <f t="shared" si="2"/>
        <v>3.1640000000000002E-5</v>
      </c>
    </row>
    <row r="97" spans="2:6" x14ac:dyDescent="0.25">
      <c r="B97" s="3">
        <v>764</v>
      </c>
      <c r="C97" s="3">
        <v>2</v>
      </c>
      <c r="D97" s="3">
        <f t="shared" si="2"/>
        <v>6.3280000000000004E-5</v>
      </c>
    </row>
    <row r="98" spans="2:6" x14ac:dyDescent="0.25">
      <c r="B98" s="3">
        <v>882</v>
      </c>
      <c r="C98" s="3">
        <v>3</v>
      </c>
      <c r="D98" s="3">
        <f t="shared" si="2"/>
        <v>9.4919999999999992E-5</v>
      </c>
    </row>
    <row r="99" spans="2:6" x14ac:dyDescent="0.25">
      <c r="D99" s="3">
        <f t="shared" si="2"/>
        <v>0</v>
      </c>
    </row>
    <row r="100" spans="2:6" x14ac:dyDescent="0.25">
      <c r="B100" s="3">
        <v>967</v>
      </c>
      <c r="C100" s="3">
        <v>0</v>
      </c>
      <c r="D100" s="3">
        <f t="shared" si="2"/>
        <v>0</v>
      </c>
      <c r="F100" s="6">
        <f>SLOPE(D100:D103,B100:B103)</f>
        <v>2.7580685734696747E-7</v>
      </c>
    </row>
    <row r="101" spans="2:6" x14ac:dyDescent="0.25">
      <c r="B101" s="3">
        <v>848</v>
      </c>
      <c r="C101" s="3">
        <v>-1</v>
      </c>
      <c r="D101" s="3">
        <f t="shared" si="2"/>
        <v>-3.1640000000000002E-5</v>
      </c>
    </row>
    <row r="102" spans="2:6" x14ac:dyDescent="0.25">
      <c r="B102" s="3">
        <v>736</v>
      </c>
      <c r="C102" s="3">
        <v>-2</v>
      </c>
      <c r="D102" s="3">
        <f t="shared" si="2"/>
        <v>-6.3280000000000004E-5</v>
      </c>
    </row>
    <row r="103" spans="2:6" x14ac:dyDescent="0.25">
      <c r="B103" s="3">
        <v>622</v>
      </c>
      <c r="C103" s="3">
        <v>-3</v>
      </c>
      <c r="D103" s="3">
        <f t="shared" si="2"/>
        <v>-9.4919999999999992E-5</v>
      </c>
    </row>
    <row r="104" spans="2:6" x14ac:dyDescent="0.25">
      <c r="D104" s="3">
        <f t="shared" si="2"/>
        <v>0</v>
      </c>
    </row>
    <row r="105" spans="2:6" x14ac:dyDescent="0.25">
      <c r="B105" s="3">
        <v>558</v>
      </c>
      <c r="C105" s="3">
        <v>0</v>
      </c>
      <c r="D105" s="3">
        <f t="shared" si="2"/>
        <v>0</v>
      </c>
      <c r="F105" s="6">
        <f>SLOPE(D105:D108,B105:B108)</f>
        <v>2.6807398472054678E-7</v>
      </c>
    </row>
    <row r="106" spans="2:6" x14ac:dyDescent="0.25">
      <c r="B106" s="3">
        <v>672</v>
      </c>
      <c r="C106" s="3">
        <v>1</v>
      </c>
      <c r="D106" s="3">
        <f t="shared" si="2"/>
        <v>3.1640000000000002E-5</v>
      </c>
    </row>
    <row r="107" spans="2:6" x14ac:dyDescent="0.25">
      <c r="B107" s="3">
        <v>790</v>
      </c>
      <c r="C107" s="3">
        <v>2</v>
      </c>
      <c r="D107" s="3">
        <f t="shared" si="2"/>
        <v>6.3280000000000004E-5</v>
      </c>
    </row>
    <row r="108" spans="2:6" x14ac:dyDescent="0.25">
      <c r="B108" s="3">
        <v>912</v>
      </c>
      <c r="C108" s="3">
        <v>3</v>
      </c>
      <c r="D108" s="3">
        <f t="shared" si="2"/>
        <v>9.4919999999999992E-5</v>
      </c>
    </row>
    <row r="109" spans="2:6" x14ac:dyDescent="0.25">
      <c r="D109" s="3">
        <f t="shared" si="2"/>
        <v>0</v>
      </c>
    </row>
    <row r="110" spans="2:6" x14ac:dyDescent="0.25">
      <c r="B110" s="3">
        <v>906</v>
      </c>
      <c r="C110" s="3">
        <v>0</v>
      </c>
      <c r="D110" s="3">
        <f t="shared" si="2"/>
        <v>0</v>
      </c>
      <c r="F110" s="6">
        <f>SLOPE(D110:D113,B110:B113)</f>
        <v>2.6609580732436202E-7</v>
      </c>
    </row>
    <row r="111" spans="2:6" x14ac:dyDescent="0.25">
      <c r="B111" s="3">
        <v>788</v>
      </c>
      <c r="C111" s="3">
        <v>-1</v>
      </c>
      <c r="D111" s="3">
        <f t="shared" si="2"/>
        <v>-3.1640000000000002E-5</v>
      </c>
    </row>
    <row r="112" spans="2:6" x14ac:dyDescent="0.25">
      <c r="B112" s="3">
        <v>670</v>
      </c>
      <c r="C112" s="3">
        <v>-2</v>
      </c>
      <c r="D112" s="3">
        <f t="shared" si="2"/>
        <v>-6.3280000000000004E-5</v>
      </c>
    </row>
    <row r="113" spans="2:6" x14ac:dyDescent="0.25">
      <c r="B113" s="3">
        <v>549</v>
      </c>
      <c r="C113" s="3">
        <v>-3</v>
      </c>
      <c r="D113" s="3">
        <f t="shared" si="2"/>
        <v>-9.4919999999999992E-5</v>
      </c>
    </row>
    <row r="114" spans="2:6" x14ac:dyDescent="0.25">
      <c r="D114" s="3">
        <f t="shared" si="2"/>
        <v>0</v>
      </c>
    </row>
    <row r="115" spans="2:6" x14ac:dyDescent="0.25">
      <c r="B115" s="3">
        <v>538</v>
      </c>
      <c r="C115" s="3">
        <v>0</v>
      </c>
      <c r="D115" s="3">
        <f t="shared" si="2"/>
        <v>0</v>
      </c>
      <c r="F115" s="6">
        <f>SLOPE(D115:D118,B115:B118)</f>
        <v>2.6519026960569069E-7</v>
      </c>
    </row>
    <row r="116" spans="2:6" x14ac:dyDescent="0.25">
      <c r="B116" s="3">
        <v>659</v>
      </c>
      <c r="C116" s="3">
        <v>1</v>
      </c>
      <c r="D116" s="3">
        <f t="shared" si="2"/>
        <v>3.1640000000000002E-5</v>
      </c>
    </row>
    <row r="117" spans="2:6" x14ac:dyDescent="0.25">
      <c r="B117" s="3">
        <v>775</v>
      </c>
      <c r="C117" s="3">
        <v>2</v>
      </c>
      <c r="D117" s="3">
        <f t="shared" si="2"/>
        <v>6.3280000000000004E-5</v>
      </c>
    </row>
    <row r="118" spans="2:6" x14ac:dyDescent="0.25">
      <c r="B118" s="3">
        <v>897</v>
      </c>
      <c r="C118" s="3">
        <v>3</v>
      </c>
      <c r="D118" s="3">
        <f t="shared" si="2"/>
        <v>9.4919999999999992E-5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9"/>
  <sheetViews>
    <sheetView tabSelected="1" topLeftCell="A37" workbookViewId="0">
      <selection activeCell="C47" sqref="C47:D50"/>
    </sheetView>
  </sheetViews>
  <sheetFormatPr baseColWidth="10" defaultColWidth="12.6640625" defaultRowHeight="15.75" customHeight="1" x14ac:dyDescent="0.25"/>
  <sheetData>
    <row r="1" spans="1:4" x14ac:dyDescent="0.25">
      <c r="A1" s="3" t="s">
        <v>43</v>
      </c>
      <c r="B1" s="3" t="s">
        <v>44</v>
      </c>
      <c r="C1" t="s">
        <v>41</v>
      </c>
      <c r="D1" t="s">
        <v>42</v>
      </c>
    </row>
    <row r="2" spans="1:4" x14ac:dyDescent="0.25">
      <c r="A2" s="3">
        <v>946</v>
      </c>
      <c r="B2" s="3">
        <v>0</v>
      </c>
      <c r="C2" s="3">
        <v>525</v>
      </c>
      <c r="D2" s="3">
        <v>0</v>
      </c>
    </row>
    <row r="3" spans="1:4" x14ac:dyDescent="0.25">
      <c r="A3" s="3">
        <v>830</v>
      </c>
      <c r="B3" s="3">
        <v>-1</v>
      </c>
      <c r="C3" s="3">
        <v>640</v>
      </c>
      <c r="D3" s="3">
        <v>1</v>
      </c>
    </row>
    <row r="4" spans="1:4" x14ac:dyDescent="0.25">
      <c r="A4" s="3">
        <v>715</v>
      </c>
      <c r="B4" s="3">
        <v>-2</v>
      </c>
      <c r="C4" s="3">
        <v>756</v>
      </c>
      <c r="D4" s="3">
        <v>2</v>
      </c>
    </row>
    <row r="5" spans="1:4" x14ac:dyDescent="0.25">
      <c r="A5" s="3">
        <v>600</v>
      </c>
      <c r="B5" s="3">
        <v>-3</v>
      </c>
      <c r="C5" s="3">
        <v>870</v>
      </c>
      <c r="D5" s="3">
        <v>3</v>
      </c>
    </row>
    <row r="7" spans="1:4" x14ac:dyDescent="0.25">
      <c r="A7" s="3">
        <v>870</v>
      </c>
      <c r="B7" s="3">
        <v>0</v>
      </c>
      <c r="C7" s="3">
        <v>525</v>
      </c>
      <c r="D7" s="3">
        <v>0</v>
      </c>
    </row>
    <row r="8" spans="1:4" x14ac:dyDescent="0.25">
      <c r="A8" s="3">
        <v>760</v>
      </c>
      <c r="B8" s="3">
        <v>-1</v>
      </c>
      <c r="C8" s="3">
        <v>647</v>
      </c>
      <c r="D8" s="3">
        <v>1</v>
      </c>
    </row>
    <row r="9" spans="1:4" x14ac:dyDescent="0.25">
      <c r="A9" s="3">
        <v>647</v>
      </c>
      <c r="B9" s="3">
        <v>-2</v>
      </c>
      <c r="C9" s="3">
        <v>770</v>
      </c>
      <c r="D9" s="3">
        <v>2</v>
      </c>
    </row>
    <row r="10" spans="1:4" ht="15.75" customHeight="1" x14ac:dyDescent="0.25">
      <c r="C10" s="3">
        <v>882</v>
      </c>
      <c r="D10" s="3">
        <v>3</v>
      </c>
    </row>
    <row r="11" spans="1:4" x14ac:dyDescent="0.25">
      <c r="A11" s="3">
        <v>886</v>
      </c>
      <c r="B11" s="3">
        <v>0</v>
      </c>
    </row>
    <row r="12" spans="1:4" x14ac:dyDescent="0.25">
      <c r="A12" s="3">
        <v>770</v>
      </c>
      <c r="B12" s="3">
        <v>-1</v>
      </c>
      <c r="C12" s="3">
        <v>534</v>
      </c>
      <c r="D12" s="3">
        <v>0</v>
      </c>
    </row>
    <row r="13" spans="1:4" x14ac:dyDescent="0.25">
      <c r="A13" s="3">
        <v>652</v>
      </c>
      <c r="B13" s="3">
        <v>-2</v>
      </c>
      <c r="C13" s="3">
        <v>655</v>
      </c>
      <c r="D13" s="3">
        <v>1</v>
      </c>
    </row>
    <row r="14" spans="1:4" x14ac:dyDescent="0.25">
      <c r="A14" s="3">
        <v>539</v>
      </c>
      <c r="B14" s="3">
        <v>-3</v>
      </c>
      <c r="C14" s="3">
        <v>771</v>
      </c>
      <c r="D14" s="3">
        <v>2</v>
      </c>
    </row>
    <row r="15" spans="1:4" ht="15.75" customHeight="1" x14ac:dyDescent="0.25">
      <c r="C15" s="3">
        <v>891</v>
      </c>
      <c r="D15" s="3">
        <v>3</v>
      </c>
    </row>
    <row r="16" spans="1:4" x14ac:dyDescent="0.25">
      <c r="A16" s="3">
        <v>920</v>
      </c>
      <c r="B16" s="3">
        <v>0</v>
      </c>
    </row>
    <row r="17" spans="1:4" x14ac:dyDescent="0.25">
      <c r="A17" s="3">
        <v>815</v>
      </c>
      <c r="B17" s="3">
        <v>-1</v>
      </c>
      <c r="C17" s="3">
        <v>556</v>
      </c>
      <c r="D17" s="3">
        <v>0</v>
      </c>
    </row>
    <row r="18" spans="1:4" x14ac:dyDescent="0.25">
      <c r="A18" s="3">
        <v>699</v>
      </c>
      <c r="B18" s="3">
        <v>-2</v>
      </c>
      <c r="C18" s="3">
        <v>672</v>
      </c>
      <c r="D18" s="3">
        <v>1</v>
      </c>
    </row>
    <row r="19" spans="1:4" x14ac:dyDescent="0.25">
      <c r="A19" s="3">
        <v>575</v>
      </c>
      <c r="B19" s="3">
        <v>-3</v>
      </c>
      <c r="C19" s="3">
        <v>797</v>
      </c>
      <c r="D19" s="3">
        <v>2</v>
      </c>
    </row>
    <row r="20" spans="1:4" ht="15.75" customHeight="1" x14ac:dyDescent="0.25">
      <c r="C20" s="3">
        <v>910</v>
      </c>
      <c r="D20" s="3">
        <v>3</v>
      </c>
    </row>
    <row r="21" spans="1:4" x14ac:dyDescent="0.25">
      <c r="A21" s="3">
        <v>962</v>
      </c>
      <c r="B21" s="3">
        <v>0</v>
      </c>
    </row>
    <row r="22" spans="1:4" x14ac:dyDescent="0.25">
      <c r="A22" s="3">
        <v>853</v>
      </c>
      <c r="B22" s="3">
        <v>-1</v>
      </c>
      <c r="C22" s="3">
        <v>542</v>
      </c>
      <c r="D22" s="3">
        <v>0</v>
      </c>
    </row>
    <row r="23" spans="1:4" x14ac:dyDescent="0.25">
      <c r="A23" s="3">
        <v>739</v>
      </c>
      <c r="B23" s="3">
        <v>-2</v>
      </c>
      <c r="C23" s="3">
        <v>662</v>
      </c>
      <c r="D23" s="3">
        <v>1</v>
      </c>
    </row>
    <row r="24" spans="1:4" x14ac:dyDescent="0.25">
      <c r="A24" s="3">
        <v>619</v>
      </c>
      <c r="B24" s="3">
        <v>-3</v>
      </c>
      <c r="C24" s="3">
        <v>783</v>
      </c>
      <c r="D24" s="3">
        <v>2</v>
      </c>
    </row>
    <row r="25" spans="1:4" ht="15.75" customHeight="1" x14ac:dyDescent="0.25">
      <c r="C25" s="3">
        <v>902</v>
      </c>
      <c r="D25" s="3">
        <v>3</v>
      </c>
    </row>
    <row r="26" spans="1:4" x14ac:dyDescent="0.25">
      <c r="A26" s="3">
        <v>924</v>
      </c>
      <c r="B26" s="3">
        <v>0</v>
      </c>
    </row>
    <row r="27" spans="1:4" x14ac:dyDescent="0.25">
      <c r="A27" s="3">
        <v>810</v>
      </c>
      <c r="B27" s="3">
        <v>-1</v>
      </c>
      <c r="C27" s="3">
        <v>532</v>
      </c>
      <c r="D27" s="3">
        <v>0</v>
      </c>
    </row>
    <row r="28" spans="1:4" x14ac:dyDescent="0.25">
      <c r="A28" s="3">
        <v>686</v>
      </c>
      <c r="B28" s="3">
        <v>-2</v>
      </c>
      <c r="C28" s="3">
        <v>664</v>
      </c>
      <c r="D28" s="3">
        <v>1</v>
      </c>
    </row>
    <row r="29" spans="1:4" x14ac:dyDescent="0.25">
      <c r="A29" s="3">
        <v>573</v>
      </c>
      <c r="B29" s="3">
        <v>-3</v>
      </c>
      <c r="C29" s="3">
        <v>776</v>
      </c>
      <c r="D29" s="3">
        <v>2</v>
      </c>
    </row>
    <row r="30" spans="1:4" ht="15.75" customHeight="1" x14ac:dyDescent="0.25">
      <c r="C30" s="3">
        <v>897</v>
      </c>
      <c r="D30" s="3">
        <v>3</v>
      </c>
    </row>
    <row r="31" spans="1:4" x14ac:dyDescent="0.25">
      <c r="A31" s="3">
        <v>943</v>
      </c>
      <c r="B31" s="3">
        <v>0</v>
      </c>
    </row>
    <row r="32" spans="1:4" x14ac:dyDescent="0.25">
      <c r="A32" s="3">
        <v>827</v>
      </c>
      <c r="B32" s="3">
        <v>-1</v>
      </c>
      <c r="C32" s="3">
        <v>535</v>
      </c>
      <c r="D32" s="3">
        <v>0</v>
      </c>
    </row>
    <row r="33" spans="1:4" x14ac:dyDescent="0.25">
      <c r="A33" s="3">
        <v>721</v>
      </c>
      <c r="B33" s="3">
        <v>-2</v>
      </c>
      <c r="C33" s="3">
        <v>659</v>
      </c>
      <c r="D33" s="3">
        <v>1</v>
      </c>
    </row>
    <row r="34" spans="1:4" x14ac:dyDescent="0.25">
      <c r="A34" s="3">
        <v>595</v>
      </c>
      <c r="B34" s="3">
        <v>-3</v>
      </c>
      <c r="C34" s="3">
        <v>774</v>
      </c>
      <c r="D34" s="3">
        <v>2</v>
      </c>
    </row>
    <row r="35" spans="1:4" ht="15.75" customHeight="1" x14ac:dyDescent="0.25">
      <c r="C35" s="3">
        <v>892</v>
      </c>
      <c r="D35" s="3">
        <v>3</v>
      </c>
    </row>
    <row r="36" spans="1:4" x14ac:dyDescent="0.25">
      <c r="A36" s="3">
        <v>922</v>
      </c>
      <c r="B36" s="3">
        <v>0</v>
      </c>
    </row>
    <row r="37" spans="1:4" x14ac:dyDescent="0.25">
      <c r="A37" s="3">
        <v>797</v>
      </c>
      <c r="B37" s="3">
        <v>-1</v>
      </c>
      <c r="C37" s="3">
        <v>528</v>
      </c>
      <c r="D37" s="3">
        <v>0</v>
      </c>
    </row>
    <row r="38" spans="1:4" x14ac:dyDescent="0.25">
      <c r="A38" s="3">
        <v>687</v>
      </c>
      <c r="B38" s="3">
        <v>-2</v>
      </c>
      <c r="C38" s="3">
        <v>646</v>
      </c>
      <c r="D38" s="3">
        <v>1</v>
      </c>
    </row>
    <row r="39" spans="1:4" x14ac:dyDescent="0.25">
      <c r="A39" s="3">
        <v>563</v>
      </c>
      <c r="B39" s="3">
        <v>-3</v>
      </c>
      <c r="C39" s="3">
        <v>764</v>
      </c>
      <c r="D39" s="3">
        <v>2</v>
      </c>
    </row>
    <row r="40" spans="1:4" ht="15.75" customHeight="1" x14ac:dyDescent="0.25">
      <c r="C40" s="3">
        <v>882</v>
      </c>
      <c r="D40" s="3">
        <v>3</v>
      </c>
    </row>
    <row r="41" spans="1:4" x14ac:dyDescent="0.25">
      <c r="A41" s="3">
        <v>967</v>
      </c>
      <c r="B41" s="3">
        <v>0</v>
      </c>
    </row>
    <row r="42" spans="1:4" x14ac:dyDescent="0.25">
      <c r="A42" s="3">
        <v>848</v>
      </c>
      <c r="B42" s="3">
        <v>-1</v>
      </c>
      <c r="C42" s="3">
        <v>558</v>
      </c>
      <c r="D42" s="3">
        <v>0</v>
      </c>
    </row>
    <row r="43" spans="1:4" x14ac:dyDescent="0.25">
      <c r="A43" s="3">
        <v>736</v>
      </c>
      <c r="B43" s="3">
        <v>-2</v>
      </c>
      <c r="C43" s="3">
        <v>672</v>
      </c>
      <c r="D43" s="3">
        <v>1</v>
      </c>
    </row>
    <row r="44" spans="1:4" x14ac:dyDescent="0.25">
      <c r="A44" s="3">
        <v>622</v>
      </c>
      <c r="B44" s="3">
        <v>-3</v>
      </c>
      <c r="C44" s="3">
        <v>790</v>
      </c>
      <c r="D44" s="3">
        <v>2</v>
      </c>
    </row>
    <row r="45" spans="1:4" ht="15.75" customHeight="1" x14ac:dyDescent="0.25">
      <c r="C45" s="3">
        <v>912</v>
      </c>
      <c r="D45" s="3">
        <v>3</v>
      </c>
    </row>
    <row r="46" spans="1:4" x14ac:dyDescent="0.25">
      <c r="A46" s="3">
        <v>906</v>
      </c>
      <c r="B46" s="3">
        <v>0</v>
      </c>
    </row>
    <row r="47" spans="1:4" x14ac:dyDescent="0.25">
      <c r="A47" s="3">
        <v>788</v>
      </c>
      <c r="B47" s="3">
        <v>-1</v>
      </c>
      <c r="C47" s="3">
        <v>538</v>
      </c>
      <c r="D47" s="3">
        <v>0</v>
      </c>
    </row>
    <row r="48" spans="1:4" x14ac:dyDescent="0.25">
      <c r="A48" s="3">
        <v>670</v>
      </c>
      <c r="B48" s="3">
        <v>-2</v>
      </c>
      <c r="C48" s="3">
        <v>659</v>
      </c>
      <c r="D48" s="3">
        <v>1</v>
      </c>
    </row>
    <row r="49" spans="1:4" x14ac:dyDescent="0.25">
      <c r="A49" s="3">
        <v>549</v>
      </c>
      <c r="B49" s="3">
        <v>-3</v>
      </c>
      <c r="C49" s="3">
        <v>775</v>
      </c>
      <c r="D49" s="3">
        <v>2</v>
      </c>
    </row>
    <row r="50" spans="1:4" ht="15.75" customHeight="1" x14ac:dyDescent="0.25">
      <c r="C50" s="3">
        <v>897</v>
      </c>
      <c r="D50" s="3">
        <v>3</v>
      </c>
    </row>
    <row r="51" spans="1:4" x14ac:dyDescent="0.25"/>
    <row r="52" spans="1:4" x14ac:dyDescent="0.25"/>
    <row r="53" spans="1:4" x14ac:dyDescent="0.25"/>
    <row r="54" spans="1:4" x14ac:dyDescent="0.25"/>
    <row r="56" spans="1:4" x14ac:dyDescent="0.25"/>
    <row r="57" spans="1:4" x14ac:dyDescent="0.25"/>
    <row r="58" spans="1:4" x14ac:dyDescent="0.25"/>
    <row r="59" spans="1:4" x14ac:dyDescent="0.25"/>
    <row r="61" spans="1:4" x14ac:dyDescent="0.25"/>
    <row r="62" spans="1:4" x14ac:dyDescent="0.25"/>
    <row r="63" spans="1:4" x14ac:dyDescent="0.25"/>
    <row r="64" spans="1:4" x14ac:dyDescent="0.25"/>
    <row r="66" x14ac:dyDescent="0.25"/>
    <row r="67" x14ac:dyDescent="0.25"/>
    <row r="68" x14ac:dyDescent="0.25"/>
    <row r="69" x14ac:dyDescent="0.25"/>
    <row r="71" x14ac:dyDescent="0.25"/>
    <row r="72" x14ac:dyDescent="0.25"/>
    <row r="73" x14ac:dyDescent="0.25"/>
    <row r="74" x14ac:dyDescent="0.25"/>
    <row r="76" x14ac:dyDescent="0.25"/>
    <row r="77" x14ac:dyDescent="0.25"/>
    <row r="78" x14ac:dyDescent="0.25"/>
    <row r="79" x14ac:dyDescent="0.25"/>
    <row r="81" x14ac:dyDescent="0.25"/>
    <row r="82" x14ac:dyDescent="0.25"/>
    <row r="83" x14ac:dyDescent="0.25"/>
    <row r="84" x14ac:dyDescent="0.25"/>
    <row r="86" x14ac:dyDescent="0.25"/>
    <row r="87" x14ac:dyDescent="0.25"/>
    <row r="88" x14ac:dyDescent="0.25"/>
    <row r="89" x14ac:dyDescent="0.25"/>
    <row r="91" x14ac:dyDescent="0.25"/>
    <row r="92" x14ac:dyDescent="0.25"/>
    <row r="93" x14ac:dyDescent="0.25"/>
    <row r="94" x14ac:dyDescent="0.25"/>
    <row r="96" x14ac:dyDescent="0.25"/>
    <row r="97" x14ac:dyDescent="0.25"/>
    <row r="98" x14ac:dyDescent="0.25"/>
    <row r="99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0"/>
  <sheetViews>
    <sheetView workbookViewId="0"/>
  </sheetViews>
  <sheetFormatPr baseColWidth="10" defaultColWidth="12.6640625" defaultRowHeight="15.75" customHeight="1" x14ac:dyDescent="0.25"/>
  <cols>
    <col min="1" max="1" width="29.77734375" customWidth="1"/>
    <col min="2" max="2" width="25.44140625" customWidth="1"/>
    <col min="3" max="3" width="36.44140625" customWidth="1"/>
    <col min="4" max="4" width="20.44140625" customWidth="1"/>
    <col min="5" max="5" width="20.77734375" customWidth="1"/>
  </cols>
  <sheetData>
    <row r="1" spans="1:10" x14ac:dyDescent="0.25">
      <c r="A1" s="3" t="s">
        <v>28</v>
      </c>
      <c r="B1" s="3" t="s">
        <v>29</v>
      </c>
      <c r="C1" s="3" t="s">
        <v>30</v>
      </c>
    </row>
    <row r="4" spans="1:10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</row>
    <row r="5" spans="1:10" x14ac:dyDescent="0.25">
      <c r="A5" s="3">
        <v>20</v>
      </c>
      <c r="B5" s="3">
        <v>18</v>
      </c>
      <c r="C5" s="3">
        <v>11</v>
      </c>
      <c r="D5" s="3">
        <f t="shared" ref="D5:D20" si="0">B5+C5*0.01</f>
        <v>18.11</v>
      </c>
      <c r="E5" s="3">
        <v>25</v>
      </c>
      <c r="F5" s="3">
        <f t="shared" ref="F5:F20" si="1">D5-A5</f>
        <v>-1.8900000000000006</v>
      </c>
      <c r="G5" s="3">
        <f t="shared" ref="G5:G20" si="2">F5*(905*10^(-6))</f>
        <v>-1.7104500000000005E-3</v>
      </c>
      <c r="H5" s="3">
        <f t="shared" ref="H5:H20" si="3">ABS(2*G5/E5*10^(6))</f>
        <v>136.83600000000004</v>
      </c>
    </row>
    <row r="6" spans="1:10" x14ac:dyDescent="0.25">
      <c r="A6" s="3">
        <v>20</v>
      </c>
      <c r="B6" s="3">
        <v>18</v>
      </c>
      <c r="C6" s="3">
        <v>3</v>
      </c>
      <c r="D6" s="3">
        <f t="shared" si="0"/>
        <v>18.03</v>
      </c>
      <c r="E6" s="3">
        <v>25</v>
      </c>
      <c r="F6" s="3">
        <f t="shared" si="1"/>
        <v>-1.9699999999999989</v>
      </c>
      <c r="G6" s="3">
        <f t="shared" si="2"/>
        <v>-1.782849999999999E-3</v>
      </c>
      <c r="H6" s="3">
        <f t="shared" si="3"/>
        <v>142.62799999999993</v>
      </c>
      <c r="J6" s="3" t="s">
        <v>39</v>
      </c>
    </row>
    <row r="7" spans="1:10" x14ac:dyDescent="0.25">
      <c r="A7" s="7">
        <v>15</v>
      </c>
      <c r="B7" s="7">
        <v>13.5</v>
      </c>
      <c r="C7" s="7">
        <v>31</v>
      </c>
      <c r="D7" s="7">
        <f t="shared" si="0"/>
        <v>13.81</v>
      </c>
      <c r="E7" s="7">
        <v>25</v>
      </c>
      <c r="F7" s="7">
        <f t="shared" si="1"/>
        <v>-1.1899999999999995</v>
      </c>
      <c r="G7" s="7">
        <f t="shared" si="2"/>
        <v>-1.0769499999999995E-3</v>
      </c>
      <c r="H7" s="7">
        <f t="shared" si="3"/>
        <v>86.155999999999949</v>
      </c>
      <c r="J7" s="3" t="s">
        <v>40</v>
      </c>
    </row>
    <row r="8" spans="1:10" x14ac:dyDescent="0.25">
      <c r="A8" s="7">
        <v>14</v>
      </c>
      <c r="B8" s="7">
        <v>12.5</v>
      </c>
      <c r="C8" s="7">
        <v>11</v>
      </c>
      <c r="D8" s="7">
        <f t="shared" si="0"/>
        <v>12.61</v>
      </c>
      <c r="E8" s="7">
        <v>25</v>
      </c>
      <c r="F8" s="7">
        <f t="shared" si="1"/>
        <v>-1.3900000000000006</v>
      </c>
      <c r="G8" s="7">
        <f t="shared" si="2"/>
        <v>-1.2579500000000005E-3</v>
      </c>
      <c r="H8" s="7">
        <f t="shared" si="3"/>
        <v>100.63600000000004</v>
      </c>
    </row>
    <row r="9" spans="1:10" x14ac:dyDescent="0.25">
      <c r="A9" s="2">
        <v>13</v>
      </c>
      <c r="B9" s="2">
        <v>11</v>
      </c>
      <c r="C9" s="2">
        <v>27</v>
      </c>
      <c r="D9" s="2">
        <f t="shared" si="0"/>
        <v>11.27</v>
      </c>
      <c r="E9" s="2">
        <v>25</v>
      </c>
      <c r="F9" s="2">
        <f t="shared" si="1"/>
        <v>-1.7300000000000004</v>
      </c>
      <c r="G9" s="2">
        <f t="shared" si="2"/>
        <v>-1.5656500000000005E-3</v>
      </c>
      <c r="H9" s="2">
        <f t="shared" si="3"/>
        <v>125.25200000000004</v>
      </c>
    </row>
    <row r="10" spans="1:10" x14ac:dyDescent="0.25">
      <c r="A10" s="3">
        <v>19</v>
      </c>
      <c r="B10" s="3">
        <v>16.5</v>
      </c>
      <c r="C10" s="3">
        <v>21</v>
      </c>
      <c r="D10" s="3">
        <f t="shared" si="0"/>
        <v>16.71</v>
      </c>
      <c r="E10" s="3">
        <v>25</v>
      </c>
      <c r="F10" s="3">
        <f t="shared" si="1"/>
        <v>-2.2899999999999991</v>
      </c>
      <c r="G10" s="3">
        <f t="shared" si="2"/>
        <v>-2.0724499999999991E-3</v>
      </c>
      <c r="H10" s="3">
        <f t="shared" si="3"/>
        <v>165.79599999999994</v>
      </c>
    </row>
    <row r="11" spans="1:10" x14ac:dyDescent="0.25">
      <c r="A11" s="3">
        <v>19</v>
      </c>
      <c r="B11" s="3">
        <v>16.5</v>
      </c>
      <c r="C11" s="3">
        <v>19</v>
      </c>
      <c r="D11" s="3">
        <f t="shared" si="0"/>
        <v>16.690000000000001</v>
      </c>
      <c r="E11" s="3">
        <v>25</v>
      </c>
      <c r="F11" s="3">
        <f t="shared" si="1"/>
        <v>-2.3099999999999987</v>
      </c>
      <c r="G11" s="3">
        <f t="shared" si="2"/>
        <v>-2.0905499999999987E-3</v>
      </c>
      <c r="H11" s="3">
        <f t="shared" si="3"/>
        <v>167.24399999999991</v>
      </c>
    </row>
    <row r="12" spans="1:10" x14ac:dyDescent="0.25">
      <c r="A12" s="3">
        <v>19</v>
      </c>
      <c r="B12" s="3">
        <v>16.5</v>
      </c>
      <c r="C12" s="3">
        <v>17</v>
      </c>
      <c r="D12" s="3">
        <f t="shared" si="0"/>
        <v>16.670000000000002</v>
      </c>
      <c r="E12" s="3">
        <v>25</v>
      </c>
      <c r="F12" s="3">
        <f t="shared" si="1"/>
        <v>-2.3299999999999983</v>
      </c>
      <c r="G12" s="3">
        <f t="shared" si="2"/>
        <v>-2.1086499999999984E-3</v>
      </c>
      <c r="H12" s="3">
        <f t="shared" si="3"/>
        <v>168.69199999999989</v>
      </c>
    </row>
    <row r="13" spans="1:10" x14ac:dyDescent="0.25">
      <c r="A13" s="3">
        <v>15</v>
      </c>
      <c r="B13" s="3">
        <v>16.5</v>
      </c>
      <c r="C13" s="3">
        <v>32</v>
      </c>
      <c r="D13" s="3">
        <f t="shared" si="0"/>
        <v>16.82</v>
      </c>
      <c r="E13" s="3">
        <v>25</v>
      </c>
      <c r="F13" s="3">
        <f t="shared" si="1"/>
        <v>1.8200000000000003</v>
      </c>
      <c r="G13" s="3">
        <f t="shared" si="2"/>
        <v>1.6471000000000003E-3</v>
      </c>
      <c r="H13" s="3">
        <f t="shared" si="3"/>
        <v>131.76800000000003</v>
      </c>
    </row>
    <row r="14" spans="1:10" x14ac:dyDescent="0.25">
      <c r="A14" s="7">
        <v>14</v>
      </c>
      <c r="B14" s="7">
        <v>12.5</v>
      </c>
      <c r="C14" s="7">
        <v>13</v>
      </c>
      <c r="D14" s="7">
        <f t="shared" si="0"/>
        <v>12.63</v>
      </c>
      <c r="E14" s="7">
        <v>25</v>
      </c>
      <c r="F14" s="7">
        <f t="shared" si="1"/>
        <v>-1.3699999999999992</v>
      </c>
      <c r="G14" s="7">
        <f t="shared" si="2"/>
        <v>-1.2398499999999994E-3</v>
      </c>
      <c r="H14" s="7">
        <f t="shared" si="3"/>
        <v>99.187999999999946</v>
      </c>
    </row>
    <row r="15" spans="1:10" x14ac:dyDescent="0.25">
      <c r="A15" s="8">
        <v>21</v>
      </c>
      <c r="B15" s="8">
        <v>19.5</v>
      </c>
      <c r="C15" s="8">
        <v>46</v>
      </c>
      <c r="D15" s="8">
        <f t="shared" si="0"/>
        <v>19.96</v>
      </c>
      <c r="E15" s="8">
        <v>25</v>
      </c>
      <c r="F15" s="8">
        <f t="shared" si="1"/>
        <v>-1.0399999999999991</v>
      </c>
      <c r="G15" s="8">
        <f t="shared" si="2"/>
        <v>-9.4119999999999924E-4</v>
      </c>
      <c r="H15" s="8">
        <f t="shared" si="3"/>
        <v>75.295999999999935</v>
      </c>
    </row>
    <row r="16" spans="1:10" x14ac:dyDescent="0.25">
      <c r="A16" s="3">
        <v>20</v>
      </c>
      <c r="B16" s="3">
        <v>17.5</v>
      </c>
      <c r="C16" s="3">
        <v>49</v>
      </c>
      <c r="D16" s="3">
        <f t="shared" si="0"/>
        <v>17.989999999999998</v>
      </c>
      <c r="E16" s="3">
        <v>25</v>
      </c>
      <c r="F16" s="3">
        <f t="shared" si="1"/>
        <v>-2.0100000000000016</v>
      </c>
      <c r="G16" s="3">
        <f t="shared" si="2"/>
        <v>-1.8190500000000013E-3</v>
      </c>
      <c r="H16" s="3">
        <f t="shared" si="3"/>
        <v>145.52400000000009</v>
      </c>
    </row>
    <row r="17" spans="1:8" x14ac:dyDescent="0.25">
      <c r="A17" s="3">
        <v>20</v>
      </c>
      <c r="B17" s="3">
        <v>18</v>
      </c>
      <c r="C17" s="3">
        <v>11</v>
      </c>
      <c r="D17" s="3">
        <f t="shared" si="0"/>
        <v>18.11</v>
      </c>
      <c r="E17" s="3">
        <v>25</v>
      </c>
      <c r="F17" s="3">
        <f t="shared" si="1"/>
        <v>-1.8900000000000006</v>
      </c>
      <c r="G17" s="3">
        <f t="shared" si="2"/>
        <v>-1.7104500000000005E-3</v>
      </c>
      <c r="H17" s="3">
        <f t="shared" si="3"/>
        <v>136.83600000000004</v>
      </c>
    </row>
    <row r="18" spans="1:8" x14ac:dyDescent="0.25">
      <c r="A18" s="3">
        <v>19.5</v>
      </c>
      <c r="B18" s="3">
        <v>17</v>
      </c>
      <c r="C18" s="3">
        <v>32</v>
      </c>
      <c r="D18" s="3">
        <f t="shared" si="0"/>
        <v>17.32</v>
      </c>
      <c r="E18" s="3">
        <v>25</v>
      </c>
      <c r="F18" s="3">
        <f t="shared" si="1"/>
        <v>-2.1799999999999997</v>
      </c>
      <c r="G18" s="3">
        <f t="shared" si="2"/>
        <v>-1.9728999999999997E-3</v>
      </c>
      <c r="H18" s="3">
        <f t="shared" si="3"/>
        <v>157.83199999999997</v>
      </c>
    </row>
    <row r="19" spans="1:8" x14ac:dyDescent="0.25">
      <c r="A19" s="3">
        <v>19</v>
      </c>
      <c r="B19" s="3">
        <v>16.5</v>
      </c>
      <c r="C19" s="3">
        <v>14</v>
      </c>
      <c r="D19" s="3">
        <f t="shared" si="0"/>
        <v>16.64</v>
      </c>
      <c r="E19" s="3">
        <v>25</v>
      </c>
      <c r="F19" s="3">
        <f t="shared" si="1"/>
        <v>-2.3599999999999994</v>
      </c>
      <c r="G19" s="3">
        <f t="shared" si="2"/>
        <v>-2.1357999999999993E-3</v>
      </c>
      <c r="H19" s="3">
        <f t="shared" si="3"/>
        <v>170.86399999999995</v>
      </c>
    </row>
    <row r="20" spans="1:8" x14ac:dyDescent="0.25">
      <c r="A20" s="3">
        <v>17</v>
      </c>
      <c r="B20" s="3">
        <v>19</v>
      </c>
      <c r="C20" s="3">
        <v>27</v>
      </c>
      <c r="D20" s="3">
        <f t="shared" si="0"/>
        <v>19.27</v>
      </c>
      <c r="E20" s="3">
        <v>25</v>
      </c>
      <c r="F20" s="3">
        <f t="shared" si="1"/>
        <v>2.2699999999999996</v>
      </c>
      <c r="G20" s="3">
        <f t="shared" si="2"/>
        <v>2.0543499999999995E-3</v>
      </c>
      <c r="H20" s="3">
        <f t="shared" si="3"/>
        <v>164.34799999999996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MICHELSON</vt:lpstr>
      <vt:lpstr>MICHELSONFORMATTED</vt:lpstr>
      <vt:lpstr>FABRY-PEROT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created xsi:type="dcterms:W3CDTF">2025-11-09T12:22:00Z</dcterms:created>
  <dcterms:modified xsi:type="dcterms:W3CDTF">2025-11-09T12:22:00Z</dcterms:modified>
</cp:coreProperties>
</file>