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CHELSON" sheetId="1" r:id="rId4"/>
    <sheet state="visible" name="MICHELSONFORMATTED" sheetId="2" r:id="rId5"/>
    <sheet state="visible" name="FABRY-PEROT" sheetId="3" r:id="rId6"/>
  </sheets>
  <definedNames/>
  <calcPr/>
</workbook>
</file>

<file path=xl/sharedStrings.xml><?xml version="1.0" encoding="utf-8"?>
<sst xmlns="http://schemas.openxmlformats.org/spreadsheetml/2006/main" count="43" uniqueCount="43">
  <si>
    <t>Láser He-Ne</t>
  </si>
  <si>
    <t>Sensibilidad manómetro digital (mbar)</t>
  </si>
  <si>
    <t>Longitud cámara (mm)</t>
  </si>
  <si>
    <t>máx emisión (nm)</t>
  </si>
  <si>
    <t>1) Observación configuración al extraer aire</t>
  </si>
  <si>
    <t>Sumidero - disminuye dif de camino óptico</t>
  </si>
  <si>
    <t>Brazo largo</t>
  </si>
  <si>
    <t>fuente de error: cambio de ta, cambia presion</t>
  </si>
  <si>
    <t>2) Variación índice de refracción con la presión</t>
  </si>
  <si>
    <t>Valor presión estabilizada (mbar)</t>
  </si>
  <si>
    <t>Nº anillos que surgen/desaparecen</t>
  </si>
  <si>
    <t>Presión (mbar)</t>
  </si>
  <si>
    <t>Δm</t>
  </si>
  <si>
    <t>Δn</t>
  </si>
  <si>
    <t>Midiendo desde el reposo</t>
  </si>
  <si>
    <t>Midiendo desde el punto en el que deja de verse negro</t>
  </si>
  <si>
    <t>Midiendo de menos presion a mas el momeneto en el que aparece un anillo rojo</t>
  </si>
  <si>
    <t>Serie 4</t>
  </si>
  <si>
    <t>Serie 5</t>
  </si>
  <si>
    <t>Serie 6</t>
  </si>
  <si>
    <t>Serie 7</t>
  </si>
  <si>
    <t>Serie 8</t>
  </si>
  <si>
    <t>Serie 9</t>
  </si>
  <si>
    <t>Serie 10</t>
  </si>
  <si>
    <t>Serie 11</t>
  </si>
  <si>
    <t>Serie 12</t>
  </si>
  <si>
    <t>Serie 13</t>
  </si>
  <si>
    <t>Serie 14</t>
  </si>
  <si>
    <t>P</t>
  </si>
  <si>
    <t>deltaM</t>
  </si>
  <si>
    <t>Sensibilidad tornillo micrométrico</t>
  </si>
  <si>
    <t>TEORIA</t>
  </si>
  <si>
    <t>0,01mm</t>
  </si>
  <si>
    <t>Valor inicial tornillo (mm)</t>
  </si>
  <si>
    <t>Lectura gruesa tornillo (mm)</t>
  </si>
  <si>
    <t>Lectura fina tornillo (mm)</t>
  </si>
  <si>
    <t>Lectura tornillo</t>
  </si>
  <si>
    <t>Nº anillos aparecen (Δm)</t>
  </si>
  <si>
    <t>Δd medido (mm)</t>
  </si>
  <si>
    <t>Δd reducido (mm)</t>
  </si>
  <si>
    <t>λ (nm)</t>
  </si>
  <si>
    <t>descartamos los datos en rosa porque el microm ha deslizado y sale mal</t>
  </si>
  <si>
    <t>en general sale mal porque el trasto está roto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</si>
</sst>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666666"/>
        <bgColor rgb="FF666666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Font="1"/>
    <xf borderId="0" fillId="0" fontId="2" numFmtId="11" xfId="0" applyFont="1" applyNumberFormat="1"/>
    <xf borderId="0" fillId="4" fontId="2" numFmtId="0" xfId="0" applyAlignment="1" applyFill="1" applyFont="1">
      <alignment readingOrder="0"/>
    </xf>
    <xf borderId="0" fillId="4" fontId="2" numFmtId="0" xfId="0" applyFont="1"/>
    <xf borderId="0" fillId="5" fontId="2" numFmtId="0" xfId="0" applyAlignment="1" applyFill="1" applyFont="1">
      <alignment readingOrder="0"/>
    </xf>
    <xf borderId="0" fillId="5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xVal>
            <c:numRef>
              <c:f>MICHELSON!$B$21:$B$23</c:f>
            </c:numRef>
          </c:xVal>
          <c:yVal>
            <c:numRef>
              <c:f>MICHELSON!$D$21:$D$23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57700"/>
        <c:axId val="1612907434"/>
      </c:scatterChart>
      <c:valAx>
        <c:axId val="1903577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2907434"/>
      </c:valAx>
      <c:valAx>
        <c:axId val="16129074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3577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1"/>
            <c:marker>
              <c:symbol val="none"/>
            </c:marker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xVal>
            <c:numRef>
              <c:f>MICHELSON!$B$26:$B$28</c:f>
            </c:numRef>
          </c:xVal>
          <c:yVal>
            <c:numRef>
              <c:f>MICHELSON!$D$26:$D$28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493607"/>
        <c:axId val="180941326"/>
      </c:scatterChart>
      <c:valAx>
        <c:axId val="19984936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941326"/>
      </c:valAx>
      <c:valAx>
        <c:axId val="1809413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84936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2"/>
            <c:marker>
              <c:symbol val="none"/>
            </c:marker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xVal>
            <c:numRef>
              <c:f>MICHELSON!$B$30:$B$33</c:f>
            </c:numRef>
          </c:xVal>
          <c:yVal>
            <c:numRef>
              <c:f>MICHELSON!$D$30:$D$33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3433663"/>
        <c:axId val="1255099951"/>
      </c:scatterChart>
      <c:valAx>
        <c:axId val="84343366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5099951"/>
      </c:valAx>
      <c:valAx>
        <c:axId val="12550999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34336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95250</xdr:colOff>
      <xdr:row>18</xdr:row>
      <xdr:rowOff>104775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704850</xdr:colOff>
      <xdr:row>6</xdr:row>
      <xdr:rowOff>133350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581025</xdr:colOff>
      <xdr:row>30</xdr:row>
      <xdr:rowOff>57150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3" max="3" width="28.25"/>
  </cols>
  <sheetData>
    <row r="1">
      <c r="A1" s="1" t="s">
        <v>0</v>
      </c>
      <c r="B1" s="2"/>
      <c r="C1" s="3" t="s">
        <v>1</v>
      </c>
      <c r="D1" s="3" t="s">
        <v>2</v>
      </c>
    </row>
    <row r="2">
      <c r="A2" s="1" t="s">
        <v>3</v>
      </c>
      <c r="B2" s="4">
        <v>632.8</v>
      </c>
      <c r="C2" s="3">
        <v>1.0</v>
      </c>
      <c r="D2" s="3">
        <v>10.0</v>
      </c>
    </row>
    <row r="5">
      <c r="A5" s="5" t="s">
        <v>4</v>
      </c>
    </row>
    <row r="7">
      <c r="A7" s="3" t="s">
        <v>5</v>
      </c>
    </row>
    <row r="8">
      <c r="A8" s="3" t="s">
        <v>6</v>
      </c>
    </row>
    <row r="11">
      <c r="E11" s="3" t="s">
        <v>7</v>
      </c>
    </row>
    <row r="17">
      <c r="A17" s="5" t="s">
        <v>8</v>
      </c>
    </row>
    <row r="18">
      <c r="A18" s="6" t="s">
        <v>9</v>
      </c>
      <c r="B18" s="6">
        <v>946.0</v>
      </c>
    </row>
    <row r="19">
      <c r="A19" s="3" t="s">
        <v>10</v>
      </c>
      <c r="B19" s="3" t="s">
        <v>11</v>
      </c>
      <c r="C19" s="3" t="s">
        <v>12</v>
      </c>
      <c r="D19" s="3" t="s">
        <v>13</v>
      </c>
    </row>
    <row r="20">
      <c r="A20" s="3" t="s">
        <v>14</v>
      </c>
    </row>
    <row r="21">
      <c r="A21" s="3">
        <v>0.0</v>
      </c>
      <c r="B21" s="3">
        <v>946.0</v>
      </c>
      <c r="C21" s="3">
        <v>0.0</v>
      </c>
      <c r="D21" s="7">
        <f t="shared" ref="D21:D24" si="1">C21*$B$2*10^(-9)/(2*$D$2*10^(-3))</f>
        <v>0</v>
      </c>
      <c r="F21" s="8">
        <f>SLOPE(D21:D24,B21:B24)</f>
        <v>0.0000002744133322</v>
      </c>
    </row>
    <row r="22">
      <c r="A22" s="3">
        <v>1.0</v>
      </c>
      <c r="B22" s="3">
        <v>830.0</v>
      </c>
      <c r="C22" s="3">
        <v>-1.0</v>
      </c>
      <c r="D22" s="7">
        <f t="shared" si="1"/>
        <v>-0.00003164</v>
      </c>
    </row>
    <row r="23">
      <c r="A23" s="3">
        <v>2.0</v>
      </c>
      <c r="B23" s="3">
        <v>715.0</v>
      </c>
      <c r="C23" s="3">
        <v>-2.0</v>
      </c>
      <c r="D23" s="7">
        <f t="shared" si="1"/>
        <v>-0.00006328</v>
      </c>
    </row>
    <row r="24">
      <c r="A24" s="3">
        <v>3.0</v>
      </c>
      <c r="B24" s="3">
        <v>600.0</v>
      </c>
      <c r="C24" s="3">
        <v>-3.0</v>
      </c>
      <c r="D24" s="7">
        <f t="shared" si="1"/>
        <v>-0.00009492</v>
      </c>
    </row>
    <row r="25">
      <c r="A25" s="3" t="s">
        <v>15</v>
      </c>
    </row>
    <row r="26">
      <c r="A26" s="3">
        <v>1.0</v>
      </c>
      <c r="B26" s="3">
        <v>870.0</v>
      </c>
      <c r="C26" s="3">
        <v>0.0</v>
      </c>
      <c r="D26" s="7">
        <f t="shared" ref="D26:D28" si="2">C26*$B$2*10^(-9)/(2*$D$2*10^(-3))</f>
        <v>0</v>
      </c>
      <c r="F26" s="8">
        <f>SLOPE(D26:D29,B26:B29)</f>
        <v>0.0000002837496984</v>
      </c>
    </row>
    <row r="27">
      <c r="A27" s="3">
        <v>2.0</v>
      </c>
      <c r="B27" s="3">
        <v>760.0</v>
      </c>
      <c r="C27" s="3">
        <v>-1.0</v>
      </c>
      <c r="D27" s="7">
        <f t="shared" si="2"/>
        <v>-0.00003164</v>
      </c>
    </row>
    <row r="28">
      <c r="A28" s="3">
        <v>3.0</v>
      </c>
      <c r="B28" s="3">
        <v>647.0</v>
      </c>
      <c r="C28" s="3">
        <v>-2.0</v>
      </c>
      <c r="D28" s="7">
        <f t="shared" si="2"/>
        <v>-0.00006328</v>
      </c>
    </row>
    <row r="29">
      <c r="A29" s="3" t="s">
        <v>16</v>
      </c>
    </row>
    <row r="30">
      <c r="B30" s="3">
        <v>525.0</v>
      </c>
      <c r="C30" s="3">
        <v>0.0</v>
      </c>
      <c r="D30" s="7">
        <f t="shared" ref="D30:D118" si="3">C30*$B$2*10^(-9)/(2*$D$2*10^(-3))</f>
        <v>0</v>
      </c>
      <c r="F30" s="8">
        <f>SLOPE(D30:D33,B30:B33)</f>
        <v>0.0000002748884939</v>
      </c>
    </row>
    <row r="31">
      <c r="B31" s="3">
        <v>640.0</v>
      </c>
      <c r="C31" s="3">
        <v>1.0</v>
      </c>
      <c r="D31" s="7">
        <f t="shared" si="3"/>
        <v>0.00003164</v>
      </c>
    </row>
    <row r="32">
      <c r="B32" s="3">
        <v>756.0</v>
      </c>
      <c r="C32" s="3">
        <v>2.0</v>
      </c>
      <c r="D32" s="7">
        <f t="shared" si="3"/>
        <v>0.00006328</v>
      </c>
    </row>
    <row r="33">
      <c r="B33" s="3">
        <v>870.0</v>
      </c>
      <c r="C33" s="3">
        <v>3.0</v>
      </c>
      <c r="D33" s="7">
        <f t="shared" si="3"/>
        <v>0.00009492</v>
      </c>
    </row>
    <row r="34">
      <c r="A34" s="3" t="s">
        <v>17</v>
      </c>
      <c r="D34" s="7">
        <f t="shared" si="3"/>
        <v>0</v>
      </c>
    </row>
    <row r="35">
      <c r="A35" s="3">
        <v>0.0</v>
      </c>
      <c r="B35" s="3">
        <v>886.0</v>
      </c>
      <c r="C35" s="3">
        <v>0.0</v>
      </c>
      <c r="D35" s="7">
        <f t="shared" si="3"/>
        <v>0</v>
      </c>
      <c r="F35" s="8">
        <f>SLOPE(D35:D38,B35:B38)</f>
        <v>0.0000002729748581</v>
      </c>
    </row>
    <row r="36">
      <c r="A36" s="3">
        <v>1.0</v>
      </c>
      <c r="B36" s="3">
        <v>770.0</v>
      </c>
      <c r="C36" s="3">
        <v>-1.0</v>
      </c>
      <c r="D36" s="7">
        <f t="shared" si="3"/>
        <v>-0.00003164</v>
      </c>
    </row>
    <row r="37">
      <c r="A37" s="3">
        <v>2.0</v>
      </c>
      <c r="B37" s="3">
        <v>652.0</v>
      </c>
      <c r="C37" s="3">
        <v>-2.0</v>
      </c>
      <c r="D37" s="7">
        <f t="shared" si="3"/>
        <v>-0.00006328</v>
      </c>
    </row>
    <row r="38">
      <c r="A38" s="3">
        <v>3.0</v>
      </c>
      <c r="B38" s="3">
        <v>539.0</v>
      </c>
      <c r="C38" s="3">
        <v>-3.0</v>
      </c>
      <c r="D38" s="7">
        <f t="shared" si="3"/>
        <v>-0.00009492</v>
      </c>
    </row>
    <row r="39">
      <c r="A39" s="3" t="s">
        <v>18</v>
      </c>
      <c r="D39" s="7">
        <f t="shared" si="3"/>
        <v>0</v>
      </c>
    </row>
    <row r="40">
      <c r="A40" s="3">
        <v>0.0</v>
      </c>
      <c r="B40" s="3">
        <v>525.0</v>
      </c>
      <c r="C40" s="3">
        <v>0.0</v>
      </c>
      <c r="D40" s="7">
        <f t="shared" si="3"/>
        <v>0</v>
      </c>
      <c r="F40" s="8">
        <f>SLOPE(D40:D43,B40:B43)</f>
        <v>0.0000002648719746</v>
      </c>
    </row>
    <row r="41">
      <c r="B41" s="3">
        <v>647.0</v>
      </c>
      <c r="C41" s="3">
        <v>1.0</v>
      </c>
      <c r="D41" s="7">
        <f t="shared" si="3"/>
        <v>0.00003164</v>
      </c>
    </row>
    <row r="42">
      <c r="B42" s="3">
        <v>770.0</v>
      </c>
      <c r="C42" s="3">
        <v>2.0</v>
      </c>
      <c r="D42" s="7">
        <f t="shared" si="3"/>
        <v>0.00006328</v>
      </c>
    </row>
    <row r="43">
      <c r="B43" s="3">
        <v>882.0</v>
      </c>
      <c r="C43" s="3">
        <v>3.0</v>
      </c>
      <c r="D43" s="7">
        <f t="shared" si="3"/>
        <v>0.00009492</v>
      </c>
    </row>
    <row r="44">
      <c r="A44" s="3" t="s">
        <v>19</v>
      </c>
      <c r="D44" s="7">
        <f t="shared" si="3"/>
        <v>0</v>
      </c>
    </row>
    <row r="45">
      <c r="A45" s="3">
        <v>0.0</v>
      </c>
      <c r="B45" s="3">
        <v>920.0</v>
      </c>
      <c r="C45" s="3">
        <v>0.0</v>
      </c>
      <c r="D45" s="7">
        <f t="shared" si="3"/>
        <v>0</v>
      </c>
      <c r="F45" s="8">
        <f>SLOPE(D45:D48,B45:B48)</f>
        <v>0.0000002745155151</v>
      </c>
    </row>
    <row r="46">
      <c r="B46" s="3">
        <v>815.0</v>
      </c>
      <c r="C46" s="3">
        <v>-1.0</v>
      </c>
      <c r="D46" s="7">
        <f t="shared" si="3"/>
        <v>-0.00003164</v>
      </c>
    </row>
    <row r="47">
      <c r="B47" s="3">
        <v>699.0</v>
      </c>
      <c r="C47" s="3">
        <v>-2.0</v>
      </c>
      <c r="D47" s="7">
        <f t="shared" si="3"/>
        <v>-0.00006328</v>
      </c>
    </row>
    <row r="48">
      <c r="B48" s="3">
        <v>575.0</v>
      </c>
      <c r="C48" s="3">
        <v>-3.0</v>
      </c>
      <c r="D48" s="7">
        <f t="shared" si="3"/>
        <v>-0.00009492</v>
      </c>
    </row>
    <row r="49">
      <c r="A49" s="3" t="s">
        <v>20</v>
      </c>
      <c r="D49" s="7">
        <f t="shared" si="3"/>
        <v>0</v>
      </c>
    </row>
    <row r="50">
      <c r="B50" s="3">
        <v>534.0</v>
      </c>
      <c r="C50" s="3">
        <v>0.0</v>
      </c>
      <c r="D50" s="7">
        <f t="shared" si="3"/>
        <v>0</v>
      </c>
      <c r="F50" s="8">
        <f>SLOPE(D50:D53,B50:B53)</f>
        <v>0.0000002665380698</v>
      </c>
    </row>
    <row r="51">
      <c r="B51" s="3">
        <v>655.0</v>
      </c>
      <c r="C51" s="3">
        <v>1.0</v>
      </c>
      <c r="D51" s="7">
        <f t="shared" si="3"/>
        <v>0.00003164</v>
      </c>
    </row>
    <row r="52">
      <c r="B52" s="3">
        <v>771.0</v>
      </c>
      <c r="C52" s="3">
        <v>2.0</v>
      </c>
      <c r="D52" s="7">
        <f t="shared" si="3"/>
        <v>0.00006328</v>
      </c>
    </row>
    <row r="53">
      <c r="B53" s="3">
        <v>891.0</v>
      </c>
      <c r="C53" s="3">
        <v>3.0</v>
      </c>
      <c r="D53" s="7">
        <f t="shared" si="3"/>
        <v>0.00009492</v>
      </c>
    </row>
    <row r="54">
      <c r="A54" s="3" t="s">
        <v>21</v>
      </c>
      <c r="D54" s="7">
        <f t="shared" si="3"/>
        <v>0</v>
      </c>
    </row>
    <row r="55">
      <c r="B55" s="3">
        <v>962.0</v>
      </c>
      <c r="C55" s="3">
        <v>0.0</v>
      </c>
      <c r="D55" s="7">
        <f t="shared" si="3"/>
        <v>0</v>
      </c>
      <c r="F55" s="8">
        <f>SLOPE(D55:D58,B55:B58)</f>
        <v>0.000000276687056</v>
      </c>
    </row>
    <row r="56">
      <c r="B56" s="3">
        <v>853.0</v>
      </c>
      <c r="C56" s="3">
        <v>-1.0</v>
      </c>
      <c r="D56" s="7">
        <f t="shared" si="3"/>
        <v>-0.00003164</v>
      </c>
    </row>
    <row r="57">
      <c r="B57" s="3">
        <v>739.0</v>
      </c>
      <c r="C57" s="3">
        <v>-2.0</v>
      </c>
      <c r="D57" s="7">
        <f t="shared" si="3"/>
        <v>-0.00006328</v>
      </c>
    </row>
    <row r="58">
      <c r="B58" s="3">
        <v>619.0</v>
      </c>
      <c r="C58" s="3">
        <v>-3.0</v>
      </c>
      <c r="D58" s="7">
        <f t="shared" si="3"/>
        <v>-0.00009492</v>
      </c>
    </row>
    <row r="59">
      <c r="A59" s="3" t="s">
        <v>22</v>
      </c>
      <c r="D59" s="7">
        <f t="shared" si="3"/>
        <v>0</v>
      </c>
    </row>
    <row r="60">
      <c r="B60" s="3">
        <v>556.0</v>
      </c>
      <c r="C60" s="3">
        <v>0.0</v>
      </c>
      <c r="D60" s="7">
        <f t="shared" si="3"/>
        <v>0</v>
      </c>
      <c r="F60" s="8">
        <f>SLOPE(D60:D63,B60:B63)</f>
        <v>0.000000266462427</v>
      </c>
    </row>
    <row r="61">
      <c r="B61" s="3">
        <v>672.0</v>
      </c>
      <c r="C61" s="3">
        <v>1.0</v>
      </c>
      <c r="D61" s="7">
        <f t="shared" si="3"/>
        <v>0.00003164</v>
      </c>
    </row>
    <row r="62">
      <c r="B62" s="3">
        <v>797.0</v>
      </c>
      <c r="C62" s="3">
        <v>2.0</v>
      </c>
      <c r="D62" s="7">
        <f t="shared" si="3"/>
        <v>0.00006328</v>
      </c>
    </row>
    <row r="63">
      <c r="B63" s="3">
        <v>910.0</v>
      </c>
      <c r="C63" s="3">
        <v>3.0</v>
      </c>
      <c r="D63" s="7">
        <f t="shared" si="3"/>
        <v>0.00009492</v>
      </c>
    </row>
    <row r="64">
      <c r="A64" s="3" t="s">
        <v>23</v>
      </c>
      <c r="D64" s="7">
        <f t="shared" si="3"/>
        <v>0</v>
      </c>
    </row>
    <row r="65">
      <c r="B65" s="3">
        <v>924.0</v>
      </c>
      <c r="C65" s="3">
        <v>0.0</v>
      </c>
      <c r="D65" s="7">
        <f t="shared" si="3"/>
        <v>0</v>
      </c>
      <c r="F65" s="8">
        <f>SLOPE(D65:D68,B65:B68)</f>
        <v>0.0000002687325143</v>
      </c>
    </row>
    <row r="66">
      <c r="B66" s="3">
        <v>810.0</v>
      </c>
      <c r="C66" s="3">
        <v>-1.0</v>
      </c>
      <c r="D66" s="7">
        <f t="shared" si="3"/>
        <v>-0.00003164</v>
      </c>
    </row>
    <row r="67">
      <c r="B67" s="3">
        <v>686.0</v>
      </c>
      <c r="C67" s="3">
        <v>-2.0</v>
      </c>
      <c r="D67" s="7">
        <f t="shared" si="3"/>
        <v>-0.00006328</v>
      </c>
    </row>
    <row r="68">
      <c r="B68" s="3">
        <v>573.0</v>
      </c>
      <c r="C68" s="3">
        <v>-3.0</v>
      </c>
      <c r="D68" s="7">
        <f t="shared" si="3"/>
        <v>-0.00009492</v>
      </c>
    </row>
    <row r="69">
      <c r="A69" s="3" t="s">
        <v>24</v>
      </c>
      <c r="D69" s="7">
        <f t="shared" si="3"/>
        <v>0</v>
      </c>
    </row>
    <row r="70">
      <c r="B70" s="3">
        <v>542.0</v>
      </c>
      <c r="C70" s="3">
        <v>0.0</v>
      </c>
      <c r="D70" s="7">
        <f t="shared" si="3"/>
        <v>0</v>
      </c>
      <c r="F70" s="8">
        <f>SLOPE(D70:D73,B70:B73)</f>
        <v>0.0000002634445704</v>
      </c>
    </row>
    <row r="71">
      <c r="B71" s="3">
        <v>662.0</v>
      </c>
      <c r="C71" s="3">
        <v>1.0</v>
      </c>
      <c r="D71" s="7">
        <f t="shared" si="3"/>
        <v>0.00003164</v>
      </c>
    </row>
    <row r="72">
      <c r="B72" s="3">
        <v>783.0</v>
      </c>
      <c r="C72" s="3">
        <v>2.0</v>
      </c>
      <c r="D72" s="7">
        <f t="shared" si="3"/>
        <v>0.00006328</v>
      </c>
    </row>
    <row r="73">
      <c r="B73" s="3">
        <v>902.0</v>
      </c>
      <c r="C73" s="3">
        <v>3.0</v>
      </c>
      <c r="D73" s="7">
        <f t="shared" si="3"/>
        <v>0.00009492</v>
      </c>
    </row>
    <row r="74">
      <c r="A74" s="3" t="s">
        <v>25</v>
      </c>
      <c r="D74" s="7">
        <f t="shared" si="3"/>
        <v>0</v>
      </c>
    </row>
    <row r="75">
      <c r="B75" s="7">
        <v>532.0</v>
      </c>
      <c r="C75" s="7">
        <v>0.0</v>
      </c>
      <c r="D75" s="7">
        <f t="shared" si="3"/>
        <v>0</v>
      </c>
      <c r="F75" s="8">
        <f>SLOPE(D75:D78,B75:B78)</f>
        <v>0.0000002618776036</v>
      </c>
    </row>
    <row r="76">
      <c r="B76" s="7">
        <v>664.0</v>
      </c>
      <c r="C76" s="7">
        <v>1.0</v>
      </c>
      <c r="D76" s="7">
        <f t="shared" si="3"/>
        <v>0.00003164</v>
      </c>
    </row>
    <row r="77">
      <c r="B77" s="7">
        <v>776.0</v>
      </c>
      <c r="C77" s="7">
        <v>2.0</v>
      </c>
      <c r="D77" s="7">
        <f t="shared" si="3"/>
        <v>0.00006328</v>
      </c>
    </row>
    <row r="78">
      <c r="B78" s="7">
        <v>897.0</v>
      </c>
      <c r="C78" s="3">
        <v>3.0</v>
      </c>
      <c r="D78" s="7">
        <f t="shared" si="3"/>
        <v>0.00009492</v>
      </c>
    </row>
    <row r="79">
      <c r="A79" s="3" t="s">
        <v>26</v>
      </c>
      <c r="D79" s="7">
        <f t="shared" si="3"/>
        <v>0</v>
      </c>
    </row>
    <row r="80">
      <c r="B80" s="3">
        <v>943.0</v>
      </c>
      <c r="C80" s="3">
        <v>0.0</v>
      </c>
      <c r="D80" s="7">
        <f t="shared" si="3"/>
        <v>0</v>
      </c>
      <c r="F80" s="8">
        <f>SLOPE(D80:D83,B80:B83)</f>
        <v>0.0000002748394894</v>
      </c>
    </row>
    <row r="81">
      <c r="B81" s="3">
        <v>827.0</v>
      </c>
      <c r="C81" s="3">
        <v>-1.0</v>
      </c>
      <c r="D81" s="7">
        <f t="shared" si="3"/>
        <v>-0.00003164</v>
      </c>
    </row>
    <row r="82">
      <c r="B82" s="3">
        <v>721.0</v>
      </c>
      <c r="C82" s="3">
        <v>-2.0</v>
      </c>
      <c r="D82" s="7">
        <f t="shared" si="3"/>
        <v>-0.00006328</v>
      </c>
    </row>
    <row r="83">
      <c r="B83" s="3">
        <v>595.0</v>
      </c>
      <c r="C83" s="3">
        <v>-3.0</v>
      </c>
      <c r="D83" s="7">
        <f t="shared" si="3"/>
        <v>-0.00009492</v>
      </c>
    </row>
    <row r="84">
      <c r="A84" s="3" t="s">
        <v>27</v>
      </c>
      <c r="D84" s="7">
        <f t="shared" si="3"/>
        <v>0</v>
      </c>
    </row>
    <row r="85">
      <c r="B85" s="3">
        <v>535.0</v>
      </c>
      <c r="C85" s="3">
        <v>0.0</v>
      </c>
      <c r="D85" s="7">
        <f t="shared" si="3"/>
        <v>0</v>
      </c>
      <c r="F85" s="8">
        <f>SLOPE(D85:D88,B85:B88)</f>
        <v>0.0000002667176527</v>
      </c>
    </row>
    <row r="86">
      <c r="B86" s="3">
        <v>659.0</v>
      </c>
      <c r="C86" s="3">
        <v>1.0</v>
      </c>
      <c r="D86" s="7">
        <f t="shared" si="3"/>
        <v>0.00003164</v>
      </c>
    </row>
    <row r="87">
      <c r="B87" s="3">
        <v>774.0</v>
      </c>
      <c r="C87" s="3">
        <v>2.0</v>
      </c>
      <c r="D87" s="7">
        <f t="shared" si="3"/>
        <v>0.00006328</v>
      </c>
    </row>
    <row r="88">
      <c r="B88" s="3">
        <v>892.0</v>
      </c>
      <c r="C88" s="3">
        <v>3.0</v>
      </c>
      <c r="D88" s="7">
        <f t="shared" si="3"/>
        <v>0.00009492</v>
      </c>
    </row>
    <row r="89">
      <c r="D89" s="7">
        <f t="shared" si="3"/>
        <v>0</v>
      </c>
    </row>
    <row r="90">
      <c r="B90" s="3">
        <v>922.0</v>
      </c>
      <c r="C90" s="3">
        <v>0.0</v>
      </c>
      <c r="D90" s="7">
        <f t="shared" si="3"/>
        <v>0</v>
      </c>
      <c r="F90" s="8">
        <f>SLOPE(D90:D93,B90:B93)</f>
        <v>0.0000002663943851</v>
      </c>
    </row>
    <row r="91">
      <c r="B91" s="3">
        <v>797.0</v>
      </c>
      <c r="C91" s="3">
        <v>-1.0</v>
      </c>
      <c r="D91" s="7">
        <f t="shared" si="3"/>
        <v>-0.00003164</v>
      </c>
    </row>
    <row r="92">
      <c r="B92" s="3">
        <v>687.0</v>
      </c>
      <c r="C92" s="3">
        <v>-2.0</v>
      </c>
      <c r="D92" s="7">
        <f t="shared" si="3"/>
        <v>-0.00006328</v>
      </c>
    </row>
    <row r="93">
      <c r="B93" s="3">
        <v>563.0</v>
      </c>
      <c r="C93" s="3">
        <v>-3.0</v>
      </c>
      <c r="D93" s="7">
        <f t="shared" si="3"/>
        <v>-0.00009492</v>
      </c>
    </row>
    <row r="94">
      <c r="D94" s="7">
        <f t="shared" si="3"/>
        <v>0</v>
      </c>
    </row>
    <row r="95">
      <c r="B95" s="3">
        <v>528.0</v>
      </c>
      <c r="C95" s="3">
        <v>0.0</v>
      </c>
      <c r="D95" s="7">
        <f t="shared" si="3"/>
        <v>0</v>
      </c>
      <c r="F95" s="8">
        <f>SLOPE(D95:D98,B95:B98)</f>
        <v>0.0000002681355932</v>
      </c>
    </row>
    <row r="96">
      <c r="B96" s="3">
        <v>646.0</v>
      </c>
      <c r="C96" s="3">
        <v>1.0</v>
      </c>
      <c r="D96" s="7">
        <f t="shared" si="3"/>
        <v>0.00003164</v>
      </c>
    </row>
    <row r="97">
      <c r="B97" s="3">
        <v>764.0</v>
      </c>
      <c r="C97" s="3">
        <v>2.0</v>
      </c>
      <c r="D97" s="7">
        <f t="shared" si="3"/>
        <v>0.00006328</v>
      </c>
    </row>
    <row r="98">
      <c r="B98" s="3">
        <v>882.0</v>
      </c>
      <c r="C98" s="3">
        <v>3.0</v>
      </c>
      <c r="D98" s="7">
        <f t="shared" si="3"/>
        <v>0.00009492</v>
      </c>
    </row>
    <row r="99">
      <c r="D99" s="7">
        <f t="shared" si="3"/>
        <v>0</v>
      </c>
    </row>
    <row r="100">
      <c r="B100" s="3">
        <v>967.0</v>
      </c>
      <c r="C100" s="3">
        <v>0.0</v>
      </c>
      <c r="D100" s="7">
        <f t="shared" si="3"/>
        <v>0</v>
      </c>
      <c r="F100" s="8">
        <f>SLOPE(D100:D103,B100:B103)</f>
        <v>0.0000002758068573</v>
      </c>
    </row>
    <row r="101">
      <c r="B101" s="3">
        <v>848.0</v>
      </c>
      <c r="C101" s="3">
        <v>-1.0</v>
      </c>
      <c r="D101" s="7">
        <f t="shared" si="3"/>
        <v>-0.00003164</v>
      </c>
    </row>
    <row r="102">
      <c r="B102" s="3">
        <v>736.0</v>
      </c>
      <c r="C102" s="3">
        <v>-2.0</v>
      </c>
      <c r="D102" s="7">
        <f t="shared" si="3"/>
        <v>-0.00006328</v>
      </c>
    </row>
    <row r="103">
      <c r="B103" s="3">
        <v>622.0</v>
      </c>
      <c r="C103" s="3">
        <v>-3.0</v>
      </c>
      <c r="D103" s="7">
        <f t="shared" si="3"/>
        <v>-0.00009492</v>
      </c>
    </row>
    <row r="104">
      <c r="D104" s="7">
        <f t="shared" si="3"/>
        <v>0</v>
      </c>
    </row>
    <row r="105">
      <c r="B105" s="3">
        <v>558.0</v>
      </c>
      <c r="C105" s="3">
        <v>0.0</v>
      </c>
      <c r="D105" s="7">
        <f t="shared" si="3"/>
        <v>0</v>
      </c>
      <c r="F105" s="8">
        <f>SLOPE(D105:D108,B105:B108)</f>
        <v>0.0000002680739847</v>
      </c>
    </row>
    <row r="106">
      <c r="B106" s="3">
        <v>672.0</v>
      </c>
      <c r="C106" s="3">
        <v>1.0</v>
      </c>
      <c r="D106" s="7">
        <f t="shared" si="3"/>
        <v>0.00003164</v>
      </c>
    </row>
    <row r="107">
      <c r="B107" s="3">
        <v>790.0</v>
      </c>
      <c r="C107" s="3">
        <v>2.0</v>
      </c>
      <c r="D107" s="7">
        <f t="shared" si="3"/>
        <v>0.00006328</v>
      </c>
    </row>
    <row r="108">
      <c r="B108" s="3">
        <v>912.0</v>
      </c>
      <c r="C108" s="3">
        <v>3.0</v>
      </c>
      <c r="D108" s="7">
        <f t="shared" si="3"/>
        <v>0.00009492</v>
      </c>
    </row>
    <row r="109">
      <c r="D109" s="7">
        <f t="shared" si="3"/>
        <v>0</v>
      </c>
    </row>
    <row r="110">
      <c r="B110" s="3">
        <v>906.0</v>
      </c>
      <c r="C110" s="3">
        <v>0.0</v>
      </c>
      <c r="D110" s="7">
        <f t="shared" si="3"/>
        <v>0</v>
      </c>
      <c r="F110" s="8">
        <f>SLOPE(D110:D113,B110:B113)</f>
        <v>0.0000002660958073</v>
      </c>
    </row>
    <row r="111">
      <c r="B111" s="3">
        <v>788.0</v>
      </c>
      <c r="C111" s="3">
        <v>-1.0</v>
      </c>
      <c r="D111" s="7">
        <f t="shared" si="3"/>
        <v>-0.00003164</v>
      </c>
    </row>
    <row r="112">
      <c r="B112" s="3">
        <v>670.0</v>
      </c>
      <c r="C112" s="3">
        <v>-2.0</v>
      </c>
      <c r="D112" s="7">
        <f t="shared" si="3"/>
        <v>-0.00006328</v>
      </c>
    </row>
    <row r="113">
      <c r="B113" s="3">
        <v>549.0</v>
      </c>
      <c r="C113" s="3">
        <v>-3.0</v>
      </c>
      <c r="D113" s="7">
        <f t="shared" si="3"/>
        <v>-0.00009492</v>
      </c>
    </row>
    <row r="114">
      <c r="D114" s="7">
        <f t="shared" si="3"/>
        <v>0</v>
      </c>
    </row>
    <row r="115">
      <c r="B115" s="3">
        <v>538.0</v>
      </c>
      <c r="C115" s="3">
        <v>0.0</v>
      </c>
      <c r="D115" s="7">
        <f t="shared" si="3"/>
        <v>0</v>
      </c>
      <c r="F115" s="8">
        <f>SLOPE(D115:D118,B115:B118)</f>
        <v>0.0000002651902696</v>
      </c>
    </row>
    <row r="116">
      <c r="B116" s="3">
        <v>659.0</v>
      </c>
      <c r="C116" s="3">
        <v>1.0</v>
      </c>
      <c r="D116" s="7">
        <f t="shared" si="3"/>
        <v>0.00003164</v>
      </c>
    </row>
    <row r="117">
      <c r="B117" s="3">
        <v>775.0</v>
      </c>
      <c r="C117" s="3">
        <v>2.0</v>
      </c>
      <c r="D117" s="7">
        <f t="shared" si="3"/>
        <v>0.00006328</v>
      </c>
    </row>
    <row r="118">
      <c r="B118" s="3">
        <v>897.0</v>
      </c>
      <c r="C118" s="3">
        <v>3.0</v>
      </c>
      <c r="D118" s="7">
        <f t="shared" si="3"/>
        <v>0.00009492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28</v>
      </c>
      <c r="B1" s="3" t="s">
        <v>29</v>
      </c>
    </row>
    <row r="2">
      <c r="A2" s="3">
        <v>946.0</v>
      </c>
      <c r="B2" s="3">
        <v>0.0</v>
      </c>
    </row>
    <row r="3">
      <c r="A3" s="3">
        <v>830.0</v>
      </c>
      <c r="B3" s="3">
        <v>-1.0</v>
      </c>
    </row>
    <row r="4">
      <c r="A4" s="3">
        <v>715.0</v>
      </c>
      <c r="B4" s="3">
        <v>-2.0</v>
      </c>
    </row>
    <row r="5">
      <c r="A5" s="3">
        <v>600.0</v>
      </c>
      <c r="B5" s="3">
        <v>-3.0</v>
      </c>
    </row>
    <row r="7">
      <c r="A7" s="3">
        <v>870.0</v>
      </c>
      <c r="B7" s="3">
        <v>0.0</v>
      </c>
    </row>
    <row r="8">
      <c r="A8" s="3">
        <v>760.0</v>
      </c>
      <c r="B8" s="3">
        <v>-1.0</v>
      </c>
    </row>
    <row r="9">
      <c r="A9" s="3">
        <v>647.0</v>
      </c>
      <c r="B9" s="3">
        <v>-2.0</v>
      </c>
    </row>
    <row r="11">
      <c r="A11" s="3">
        <v>525.0</v>
      </c>
      <c r="B11" s="3">
        <v>0.0</v>
      </c>
    </row>
    <row r="12">
      <c r="A12" s="3">
        <v>640.0</v>
      </c>
      <c r="B12" s="3">
        <v>1.0</v>
      </c>
    </row>
    <row r="13">
      <c r="A13" s="3">
        <v>756.0</v>
      </c>
      <c r="B13" s="3">
        <v>2.0</v>
      </c>
    </row>
    <row r="14">
      <c r="A14" s="3">
        <v>870.0</v>
      </c>
      <c r="B14" s="3">
        <v>3.0</v>
      </c>
    </row>
    <row r="16">
      <c r="A16" s="3">
        <v>886.0</v>
      </c>
      <c r="B16" s="3">
        <v>0.0</v>
      </c>
    </row>
    <row r="17">
      <c r="A17" s="3">
        <v>770.0</v>
      </c>
      <c r="B17" s="3">
        <v>-1.0</v>
      </c>
    </row>
    <row r="18">
      <c r="A18" s="3">
        <v>652.0</v>
      </c>
      <c r="B18" s="3">
        <v>-2.0</v>
      </c>
    </row>
    <row r="19">
      <c r="A19" s="3">
        <v>539.0</v>
      </c>
      <c r="B19" s="3">
        <v>-3.0</v>
      </c>
    </row>
    <row r="21">
      <c r="A21" s="3">
        <v>525.0</v>
      </c>
      <c r="B21" s="3">
        <v>0.0</v>
      </c>
    </row>
    <row r="22">
      <c r="A22" s="3">
        <v>647.0</v>
      </c>
      <c r="B22" s="3">
        <v>1.0</v>
      </c>
    </row>
    <row r="23">
      <c r="A23" s="3">
        <v>770.0</v>
      </c>
      <c r="B23" s="3">
        <v>2.0</v>
      </c>
    </row>
    <row r="24">
      <c r="A24" s="3">
        <v>882.0</v>
      </c>
      <c r="B24" s="3">
        <v>3.0</v>
      </c>
    </row>
    <row r="26">
      <c r="A26" s="3">
        <v>920.0</v>
      </c>
      <c r="B26" s="3">
        <v>0.0</v>
      </c>
    </row>
    <row r="27">
      <c r="A27" s="3">
        <v>815.0</v>
      </c>
      <c r="B27" s="3">
        <v>-1.0</v>
      </c>
    </row>
    <row r="28">
      <c r="A28" s="3">
        <v>699.0</v>
      </c>
      <c r="B28" s="3">
        <v>-2.0</v>
      </c>
    </row>
    <row r="29">
      <c r="A29" s="3">
        <v>575.0</v>
      </c>
      <c r="B29" s="3">
        <v>-3.0</v>
      </c>
    </row>
    <row r="31">
      <c r="A31" s="3">
        <v>534.0</v>
      </c>
      <c r="B31" s="3">
        <v>0.0</v>
      </c>
    </row>
    <row r="32">
      <c r="A32" s="3">
        <v>655.0</v>
      </c>
      <c r="B32" s="3">
        <v>1.0</v>
      </c>
    </row>
    <row r="33">
      <c r="A33" s="3">
        <v>771.0</v>
      </c>
      <c r="B33" s="3">
        <v>2.0</v>
      </c>
    </row>
    <row r="34">
      <c r="A34" s="3">
        <v>891.0</v>
      </c>
      <c r="B34" s="3">
        <v>3.0</v>
      </c>
    </row>
    <row r="36">
      <c r="A36" s="3">
        <v>962.0</v>
      </c>
      <c r="B36" s="3">
        <v>0.0</v>
      </c>
    </row>
    <row r="37">
      <c r="A37" s="3">
        <v>853.0</v>
      </c>
      <c r="B37" s="3">
        <v>-1.0</v>
      </c>
    </row>
    <row r="38">
      <c r="A38" s="3">
        <v>739.0</v>
      </c>
      <c r="B38" s="3">
        <v>-2.0</v>
      </c>
    </row>
    <row r="39">
      <c r="A39" s="3">
        <v>619.0</v>
      </c>
      <c r="B39" s="3">
        <v>-3.0</v>
      </c>
    </row>
    <row r="41">
      <c r="A41" s="3">
        <v>556.0</v>
      </c>
      <c r="B41" s="3">
        <v>0.0</v>
      </c>
    </row>
    <row r="42">
      <c r="A42" s="3">
        <v>672.0</v>
      </c>
      <c r="B42" s="3">
        <v>1.0</v>
      </c>
    </row>
    <row r="43">
      <c r="A43" s="3">
        <v>797.0</v>
      </c>
      <c r="B43" s="3">
        <v>2.0</v>
      </c>
    </row>
    <row r="44">
      <c r="A44" s="3">
        <v>910.0</v>
      </c>
      <c r="B44" s="3">
        <v>3.0</v>
      </c>
    </row>
    <row r="46">
      <c r="A46" s="3">
        <v>924.0</v>
      </c>
      <c r="B46" s="3">
        <v>0.0</v>
      </c>
    </row>
    <row r="47">
      <c r="A47" s="3">
        <v>810.0</v>
      </c>
      <c r="B47" s="3">
        <v>-1.0</v>
      </c>
    </row>
    <row r="48">
      <c r="A48" s="3">
        <v>686.0</v>
      </c>
      <c r="B48" s="3">
        <v>-2.0</v>
      </c>
    </row>
    <row r="49">
      <c r="A49" s="3">
        <v>573.0</v>
      </c>
      <c r="B49" s="3">
        <v>-3.0</v>
      </c>
    </row>
    <row r="51">
      <c r="A51" s="3">
        <v>542.0</v>
      </c>
      <c r="B51" s="3">
        <v>0.0</v>
      </c>
    </row>
    <row r="52">
      <c r="A52" s="3">
        <v>662.0</v>
      </c>
      <c r="B52" s="3">
        <v>1.0</v>
      </c>
    </row>
    <row r="53">
      <c r="A53" s="3">
        <v>783.0</v>
      </c>
      <c r="B53" s="3">
        <v>2.0</v>
      </c>
    </row>
    <row r="54">
      <c r="A54" s="3">
        <v>902.0</v>
      </c>
      <c r="B54" s="3">
        <v>3.0</v>
      </c>
    </row>
    <row r="56">
      <c r="A56" s="7">
        <v>532.0</v>
      </c>
      <c r="B56" s="7">
        <v>0.0</v>
      </c>
    </row>
    <row r="57">
      <c r="A57" s="7">
        <v>664.0</v>
      </c>
      <c r="B57" s="7">
        <v>1.0</v>
      </c>
    </row>
    <row r="58">
      <c r="A58" s="7">
        <v>776.0</v>
      </c>
      <c r="B58" s="7">
        <v>2.0</v>
      </c>
    </row>
    <row r="59">
      <c r="A59" s="7">
        <v>897.0</v>
      </c>
      <c r="B59" s="3">
        <v>3.0</v>
      </c>
    </row>
    <row r="61">
      <c r="A61" s="3">
        <v>943.0</v>
      </c>
      <c r="B61" s="3">
        <v>0.0</v>
      </c>
    </row>
    <row r="62">
      <c r="A62" s="3">
        <v>827.0</v>
      </c>
      <c r="B62" s="3">
        <v>-1.0</v>
      </c>
    </row>
    <row r="63">
      <c r="A63" s="3">
        <v>721.0</v>
      </c>
      <c r="B63" s="3">
        <v>-2.0</v>
      </c>
    </row>
    <row r="64">
      <c r="A64" s="3">
        <v>595.0</v>
      </c>
      <c r="B64" s="3">
        <v>-3.0</v>
      </c>
    </row>
    <row r="66">
      <c r="A66" s="3">
        <v>535.0</v>
      </c>
      <c r="B66" s="3">
        <v>0.0</v>
      </c>
    </row>
    <row r="67">
      <c r="A67" s="3">
        <v>659.0</v>
      </c>
      <c r="B67" s="3">
        <v>1.0</v>
      </c>
    </row>
    <row r="68">
      <c r="A68" s="3">
        <v>774.0</v>
      </c>
      <c r="B68" s="3">
        <v>2.0</v>
      </c>
    </row>
    <row r="69">
      <c r="A69" s="3">
        <v>892.0</v>
      </c>
      <c r="B69" s="3">
        <v>3.0</v>
      </c>
    </row>
    <row r="71">
      <c r="A71" s="3">
        <v>922.0</v>
      </c>
      <c r="B71" s="3">
        <v>0.0</v>
      </c>
    </row>
    <row r="72">
      <c r="A72" s="3">
        <v>797.0</v>
      </c>
      <c r="B72" s="3">
        <v>-1.0</v>
      </c>
    </row>
    <row r="73">
      <c r="A73" s="3">
        <v>687.0</v>
      </c>
      <c r="B73" s="3">
        <v>-2.0</v>
      </c>
    </row>
    <row r="74">
      <c r="A74" s="3">
        <v>563.0</v>
      </c>
      <c r="B74" s="3">
        <v>-3.0</v>
      </c>
    </row>
    <row r="76">
      <c r="A76" s="3">
        <v>528.0</v>
      </c>
      <c r="B76" s="3">
        <v>0.0</v>
      </c>
    </row>
    <row r="77">
      <c r="A77" s="3">
        <v>646.0</v>
      </c>
      <c r="B77" s="3">
        <v>1.0</v>
      </c>
    </row>
    <row r="78">
      <c r="A78" s="3">
        <v>764.0</v>
      </c>
      <c r="B78" s="3">
        <v>2.0</v>
      </c>
    </row>
    <row r="79">
      <c r="A79" s="3">
        <v>882.0</v>
      </c>
      <c r="B79" s="3">
        <v>3.0</v>
      </c>
    </row>
    <row r="81">
      <c r="A81" s="3">
        <v>967.0</v>
      </c>
      <c r="B81" s="3">
        <v>0.0</v>
      </c>
    </row>
    <row r="82">
      <c r="A82" s="3">
        <v>848.0</v>
      </c>
      <c r="B82" s="3">
        <v>-1.0</v>
      </c>
    </row>
    <row r="83">
      <c r="A83" s="3">
        <v>736.0</v>
      </c>
      <c r="B83" s="3">
        <v>-2.0</v>
      </c>
    </row>
    <row r="84">
      <c r="A84" s="3">
        <v>622.0</v>
      </c>
      <c r="B84" s="3">
        <v>-3.0</v>
      </c>
    </row>
    <row r="86">
      <c r="A86" s="3">
        <v>558.0</v>
      </c>
      <c r="B86" s="3">
        <v>0.0</v>
      </c>
    </row>
    <row r="87">
      <c r="A87" s="3">
        <v>672.0</v>
      </c>
      <c r="B87" s="3">
        <v>1.0</v>
      </c>
    </row>
    <row r="88">
      <c r="A88" s="3">
        <v>790.0</v>
      </c>
      <c r="B88" s="3">
        <v>2.0</v>
      </c>
    </row>
    <row r="89">
      <c r="A89" s="3">
        <v>912.0</v>
      </c>
      <c r="B89" s="3">
        <v>3.0</v>
      </c>
    </row>
    <row r="91">
      <c r="A91" s="3">
        <v>906.0</v>
      </c>
      <c r="B91" s="3">
        <v>0.0</v>
      </c>
    </row>
    <row r="92">
      <c r="A92" s="3">
        <v>788.0</v>
      </c>
      <c r="B92" s="3">
        <v>-1.0</v>
      </c>
    </row>
    <row r="93">
      <c r="A93" s="3">
        <v>670.0</v>
      </c>
      <c r="B93" s="3">
        <v>-2.0</v>
      </c>
    </row>
    <row r="94">
      <c r="A94" s="3">
        <v>549.0</v>
      </c>
      <c r="B94" s="3">
        <v>-3.0</v>
      </c>
    </row>
    <row r="96">
      <c r="A96" s="3">
        <v>538.0</v>
      </c>
      <c r="B96" s="3">
        <v>0.0</v>
      </c>
    </row>
    <row r="97">
      <c r="A97" s="3">
        <v>659.0</v>
      </c>
      <c r="B97" s="3">
        <v>1.0</v>
      </c>
    </row>
    <row r="98">
      <c r="A98" s="3">
        <v>775.0</v>
      </c>
      <c r="B98" s="3">
        <v>2.0</v>
      </c>
    </row>
    <row r="99">
      <c r="A99" s="3">
        <v>897.0</v>
      </c>
      <c r="B99" s="3">
        <v>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25.5"/>
    <col customWidth="1" min="3" max="3" width="36.5"/>
    <col customWidth="1" min="4" max="4" width="20.5"/>
    <col customWidth="1" min="5" max="5" width="20.75"/>
  </cols>
  <sheetData>
    <row r="1">
      <c r="A1" s="3" t="s">
        <v>30</v>
      </c>
      <c r="B1" s="3" t="s">
        <v>31</v>
      </c>
      <c r="C1" s="3" t="s">
        <v>32</v>
      </c>
    </row>
    <row r="4">
      <c r="A4" s="3" t="s">
        <v>33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40</v>
      </c>
    </row>
    <row r="5">
      <c r="A5" s="3">
        <v>20.0</v>
      </c>
      <c r="B5" s="3">
        <v>18.0</v>
      </c>
      <c r="C5" s="3">
        <v>11.0</v>
      </c>
      <c r="D5" s="7">
        <f t="shared" ref="D5:D20" si="1">B5+C5*0.01</f>
        <v>18.11</v>
      </c>
      <c r="E5" s="3">
        <v>25.0</v>
      </c>
      <c r="F5" s="7">
        <f t="shared" ref="F5:F20" si="2">D5-A5</f>
        <v>-1.89</v>
      </c>
      <c r="G5" s="7">
        <f t="shared" ref="G5:G20" si="3">F5*(905*10^(-6))</f>
        <v>-0.00171045</v>
      </c>
      <c r="H5" s="7">
        <f t="shared" ref="H5:H20" si="4">abs(2*G5/E5*10^(6))</f>
        <v>136.836</v>
      </c>
    </row>
    <row r="6">
      <c r="A6" s="3">
        <v>20.0</v>
      </c>
      <c r="B6" s="3">
        <v>18.0</v>
      </c>
      <c r="C6" s="3">
        <v>3.0</v>
      </c>
      <c r="D6" s="7">
        <f t="shared" si="1"/>
        <v>18.03</v>
      </c>
      <c r="E6" s="3">
        <v>25.0</v>
      </c>
      <c r="F6" s="7">
        <f t="shared" si="2"/>
        <v>-1.97</v>
      </c>
      <c r="G6" s="7">
        <f t="shared" si="3"/>
        <v>-0.00178285</v>
      </c>
      <c r="H6" s="7">
        <f t="shared" si="4"/>
        <v>142.628</v>
      </c>
      <c r="J6" s="3" t="s">
        <v>41</v>
      </c>
    </row>
    <row r="7">
      <c r="A7" s="9">
        <v>15.0</v>
      </c>
      <c r="B7" s="9">
        <v>13.5</v>
      </c>
      <c r="C7" s="9">
        <v>31.0</v>
      </c>
      <c r="D7" s="10">
        <f t="shared" si="1"/>
        <v>13.81</v>
      </c>
      <c r="E7" s="9">
        <v>25.0</v>
      </c>
      <c r="F7" s="10">
        <f t="shared" si="2"/>
        <v>-1.19</v>
      </c>
      <c r="G7" s="10">
        <f t="shared" si="3"/>
        <v>-0.00107695</v>
      </c>
      <c r="H7" s="10">
        <f t="shared" si="4"/>
        <v>86.156</v>
      </c>
      <c r="J7" s="3" t="s">
        <v>42</v>
      </c>
    </row>
    <row r="8">
      <c r="A8" s="9">
        <v>14.0</v>
      </c>
      <c r="B8" s="9">
        <v>12.5</v>
      </c>
      <c r="C8" s="9">
        <v>11.0</v>
      </c>
      <c r="D8" s="10">
        <f t="shared" si="1"/>
        <v>12.61</v>
      </c>
      <c r="E8" s="9">
        <v>25.0</v>
      </c>
      <c r="F8" s="10">
        <f t="shared" si="2"/>
        <v>-1.39</v>
      </c>
      <c r="G8" s="10">
        <f t="shared" si="3"/>
        <v>-0.00125795</v>
      </c>
      <c r="H8" s="10">
        <f t="shared" si="4"/>
        <v>100.636</v>
      </c>
    </row>
    <row r="9">
      <c r="A9" s="4">
        <v>13.0</v>
      </c>
      <c r="B9" s="4">
        <v>11.0</v>
      </c>
      <c r="C9" s="4">
        <v>27.0</v>
      </c>
      <c r="D9" s="2">
        <f t="shared" si="1"/>
        <v>11.27</v>
      </c>
      <c r="E9" s="4">
        <v>25.0</v>
      </c>
      <c r="F9" s="2">
        <f t="shared" si="2"/>
        <v>-1.73</v>
      </c>
      <c r="G9" s="2">
        <f t="shared" si="3"/>
        <v>-0.00156565</v>
      </c>
      <c r="H9" s="2">
        <f t="shared" si="4"/>
        <v>125.252</v>
      </c>
    </row>
    <row r="10">
      <c r="A10" s="3">
        <v>19.0</v>
      </c>
      <c r="B10" s="3">
        <v>16.5</v>
      </c>
      <c r="C10" s="3">
        <v>21.0</v>
      </c>
      <c r="D10" s="7">
        <f t="shared" si="1"/>
        <v>16.71</v>
      </c>
      <c r="E10" s="3">
        <v>25.0</v>
      </c>
      <c r="F10" s="7">
        <f t="shared" si="2"/>
        <v>-2.29</v>
      </c>
      <c r="G10" s="7">
        <f t="shared" si="3"/>
        <v>-0.00207245</v>
      </c>
      <c r="H10" s="7">
        <f t="shared" si="4"/>
        <v>165.796</v>
      </c>
    </row>
    <row r="11">
      <c r="A11" s="3">
        <v>19.0</v>
      </c>
      <c r="B11" s="3">
        <v>16.5</v>
      </c>
      <c r="C11" s="3">
        <v>19.0</v>
      </c>
      <c r="D11" s="7">
        <f t="shared" si="1"/>
        <v>16.69</v>
      </c>
      <c r="E11" s="3">
        <v>25.0</v>
      </c>
      <c r="F11" s="7">
        <f t="shared" si="2"/>
        <v>-2.31</v>
      </c>
      <c r="G11" s="7">
        <f t="shared" si="3"/>
        <v>-0.00209055</v>
      </c>
      <c r="H11" s="7">
        <f t="shared" si="4"/>
        <v>167.244</v>
      </c>
    </row>
    <row r="12">
      <c r="A12" s="3">
        <v>19.0</v>
      </c>
      <c r="B12" s="3">
        <v>16.5</v>
      </c>
      <c r="C12" s="3">
        <v>17.0</v>
      </c>
      <c r="D12" s="7">
        <f t="shared" si="1"/>
        <v>16.67</v>
      </c>
      <c r="E12" s="3">
        <v>25.0</v>
      </c>
      <c r="F12" s="7">
        <f t="shared" si="2"/>
        <v>-2.33</v>
      </c>
      <c r="G12" s="7">
        <f t="shared" si="3"/>
        <v>-0.00210865</v>
      </c>
      <c r="H12" s="7">
        <f t="shared" si="4"/>
        <v>168.692</v>
      </c>
    </row>
    <row r="13">
      <c r="A13" s="3">
        <v>15.0</v>
      </c>
      <c r="B13" s="3">
        <v>16.5</v>
      </c>
      <c r="C13" s="3">
        <v>32.0</v>
      </c>
      <c r="D13" s="7">
        <f t="shared" si="1"/>
        <v>16.82</v>
      </c>
      <c r="E13" s="3">
        <v>25.0</v>
      </c>
      <c r="F13" s="7">
        <f t="shared" si="2"/>
        <v>1.82</v>
      </c>
      <c r="G13" s="7">
        <f t="shared" si="3"/>
        <v>0.0016471</v>
      </c>
      <c r="H13" s="7">
        <f t="shared" si="4"/>
        <v>131.768</v>
      </c>
    </row>
    <row r="14">
      <c r="A14" s="9">
        <v>14.0</v>
      </c>
      <c r="B14" s="9">
        <v>12.5</v>
      </c>
      <c r="C14" s="9">
        <v>13.0</v>
      </c>
      <c r="D14" s="10">
        <f t="shared" si="1"/>
        <v>12.63</v>
      </c>
      <c r="E14" s="9">
        <v>25.0</v>
      </c>
      <c r="F14" s="10">
        <f t="shared" si="2"/>
        <v>-1.37</v>
      </c>
      <c r="G14" s="10">
        <f t="shared" si="3"/>
        <v>-0.00123985</v>
      </c>
      <c r="H14" s="10">
        <f t="shared" si="4"/>
        <v>99.188</v>
      </c>
    </row>
    <row r="15">
      <c r="A15" s="11">
        <v>21.0</v>
      </c>
      <c r="B15" s="11">
        <v>19.5</v>
      </c>
      <c r="C15" s="11">
        <v>46.0</v>
      </c>
      <c r="D15" s="12">
        <f t="shared" si="1"/>
        <v>19.96</v>
      </c>
      <c r="E15" s="11">
        <v>25.0</v>
      </c>
      <c r="F15" s="12">
        <f t="shared" si="2"/>
        <v>-1.04</v>
      </c>
      <c r="G15" s="12">
        <f t="shared" si="3"/>
        <v>-0.0009412</v>
      </c>
      <c r="H15" s="12">
        <f t="shared" si="4"/>
        <v>75.296</v>
      </c>
    </row>
    <row r="16">
      <c r="A16" s="3">
        <v>20.0</v>
      </c>
      <c r="B16" s="3">
        <v>17.5</v>
      </c>
      <c r="C16" s="3">
        <v>49.0</v>
      </c>
      <c r="D16" s="7">
        <f t="shared" si="1"/>
        <v>17.99</v>
      </c>
      <c r="E16" s="3">
        <v>25.0</v>
      </c>
      <c r="F16" s="7">
        <f t="shared" si="2"/>
        <v>-2.01</v>
      </c>
      <c r="G16" s="7">
        <f t="shared" si="3"/>
        <v>-0.00181905</v>
      </c>
      <c r="H16" s="7">
        <f t="shared" si="4"/>
        <v>145.524</v>
      </c>
    </row>
    <row r="17">
      <c r="A17" s="3">
        <v>20.0</v>
      </c>
      <c r="B17" s="3">
        <v>18.0</v>
      </c>
      <c r="C17" s="3">
        <v>11.0</v>
      </c>
      <c r="D17" s="7">
        <f t="shared" si="1"/>
        <v>18.11</v>
      </c>
      <c r="E17" s="3">
        <v>25.0</v>
      </c>
      <c r="F17" s="7">
        <f t="shared" si="2"/>
        <v>-1.89</v>
      </c>
      <c r="G17" s="7">
        <f t="shared" si="3"/>
        <v>-0.00171045</v>
      </c>
      <c r="H17" s="7">
        <f t="shared" si="4"/>
        <v>136.836</v>
      </c>
    </row>
    <row r="18">
      <c r="A18" s="3">
        <v>19.5</v>
      </c>
      <c r="B18" s="3">
        <v>17.0</v>
      </c>
      <c r="C18" s="3">
        <v>32.0</v>
      </c>
      <c r="D18" s="7">
        <f t="shared" si="1"/>
        <v>17.32</v>
      </c>
      <c r="E18" s="3">
        <v>25.0</v>
      </c>
      <c r="F18" s="7">
        <f t="shared" si="2"/>
        <v>-2.18</v>
      </c>
      <c r="G18" s="7">
        <f t="shared" si="3"/>
        <v>-0.0019729</v>
      </c>
      <c r="H18" s="7">
        <f t="shared" si="4"/>
        <v>157.832</v>
      </c>
    </row>
    <row r="19">
      <c r="A19" s="3">
        <v>19.0</v>
      </c>
      <c r="B19" s="3">
        <v>16.5</v>
      </c>
      <c r="C19" s="3">
        <v>14.0</v>
      </c>
      <c r="D19" s="7">
        <f t="shared" si="1"/>
        <v>16.64</v>
      </c>
      <c r="E19" s="3">
        <v>25.0</v>
      </c>
      <c r="F19" s="7">
        <f t="shared" si="2"/>
        <v>-2.36</v>
      </c>
      <c r="G19" s="7">
        <f t="shared" si="3"/>
        <v>-0.0021358</v>
      </c>
      <c r="H19" s="7">
        <f t="shared" si="4"/>
        <v>170.864</v>
      </c>
    </row>
    <row r="20">
      <c r="A20" s="3">
        <v>17.0</v>
      </c>
      <c r="B20" s="3">
        <v>19.0</v>
      </c>
      <c r="C20" s="3">
        <v>27.0</v>
      </c>
      <c r="D20" s="7">
        <f t="shared" si="1"/>
        <v>19.27</v>
      </c>
      <c r="E20" s="3">
        <v>25.0</v>
      </c>
      <c r="F20" s="7">
        <f t="shared" si="2"/>
        <v>2.27</v>
      </c>
      <c r="G20" s="7">
        <f t="shared" si="3"/>
        <v>0.00205435</v>
      </c>
      <c r="H20" s="7">
        <f t="shared" si="4"/>
        <v>164.348</v>
      </c>
    </row>
  </sheetData>
  <drawing r:id="rId1"/>
</worksheet>
</file>