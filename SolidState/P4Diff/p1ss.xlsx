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Plotting\SolidState\P4Diff\"/>
    </mc:Choice>
  </mc:AlternateContent>
  <xr:revisionPtr revIDLastSave="0" documentId="13_ncr:1_{29B58488-20D2-411C-883A-F8AEFA7260D3}" xr6:coauthVersionLast="47" xr6:coauthVersionMax="47" xr10:uidLastSave="{00000000-0000-0000-0000-000000000000}"/>
  <bookViews>
    <workbookView xWindow="-108" yWindow="-108" windowWidth="23256" windowHeight="12456" xr2:uid="{AA797605-340E-4B6C-B0D2-B3B72F2A195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2" l="1"/>
  <c r="J16" i="2"/>
  <c r="F16" i="2"/>
  <c r="J15" i="2"/>
  <c r="F15" i="2"/>
  <c r="J14" i="2"/>
  <c r="F14" i="2"/>
  <c r="J13" i="2"/>
  <c r="F13" i="2"/>
  <c r="J12" i="2"/>
  <c r="F12" i="2"/>
  <c r="J11" i="2"/>
  <c r="F11" i="2"/>
  <c r="J10" i="2"/>
  <c r="F10" i="2"/>
  <c r="J9" i="2"/>
  <c r="F9" i="2"/>
  <c r="J8" i="2"/>
  <c r="F8" i="2"/>
  <c r="J7" i="2"/>
  <c r="F7" i="2"/>
  <c r="J6" i="2"/>
  <c r="F6" i="2"/>
  <c r="J5" i="2"/>
  <c r="F5" i="2"/>
  <c r="J4" i="2"/>
  <c r="F4" i="2"/>
  <c r="J3" i="2"/>
  <c r="F3" i="2"/>
  <c r="J2" i="2"/>
  <c r="F2" i="2"/>
</calcChain>
</file>

<file path=xl/sharedStrings.xml><?xml version="1.0" encoding="utf-8"?>
<sst xmlns="http://schemas.openxmlformats.org/spreadsheetml/2006/main" count="17" uniqueCount="8">
  <si>
    <t>V (kV)</t>
  </si>
  <si>
    <t>errV (kV)</t>
  </si>
  <si>
    <t>l_in_peque</t>
  </si>
  <si>
    <t>err</t>
  </si>
  <si>
    <t>l_in_grande</t>
  </si>
  <si>
    <t>l_exterior_grande</t>
  </si>
  <si>
    <t>diam</t>
  </si>
  <si>
    <t>l_exterior_peque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</si>
</sst>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0" xfId="0" applyFill="1"/>
    <xf numFmtId="2" fontId="0" fillId="0" borderId="0" xfId="0" applyNumberFormat="1"/>
    <xf numFmtId="0" fontId="0" fillId="3" borderId="0" xfId="0" applyFill="1"/>
    <xf numFmtId="0" fontId="0" fillId="4" borderId="1" xfId="0" applyFill="1" applyBorder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2F4A-D0A5-4457-8B4A-786215AB6BB2}">
  <dimension ref="A1:I12"/>
  <sheetViews>
    <sheetView tabSelected="1" workbookViewId="0">
      <selection activeCell="I19" sqref="I19"/>
    </sheetView>
  </sheetViews>
  <sheetFormatPr defaultRowHeight="14.4" x14ac:dyDescent="0.3"/>
  <cols>
    <col min="2" max="2" width="9.44140625" bestFit="1" customWidth="1"/>
    <col min="3" max="3" width="18.33203125" bestFit="1" customWidth="1"/>
    <col min="4" max="4" width="10" bestFit="1" customWidth="1"/>
    <col min="5" max="5" width="14.77734375" bestFit="1" customWidth="1"/>
  </cols>
  <sheetData>
    <row r="1" spans="1:9" x14ac:dyDescent="0.3">
      <c r="A1" s="1" t="s">
        <v>0</v>
      </c>
      <c r="B1" s="1" t="s">
        <v>2</v>
      </c>
      <c r="C1" s="1" t="s">
        <v>7</v>
      </c>
      <c r="D1" s="1" t="s">
        <v>4</v>
      </c>
      <c r="E1" s="1" t="s">
        <v>5</v>
      </c>
      <c r="H1" s="2"/>
      <c r="I1" s="2"/>
    </row>
    <row r="2" spans="1:9" x14ac:dyDescent="0.3">
      <c r="A2">
        <v>2.5099999999999998</v>
      </c>
      <c r="B2">
        <v>31.49</v>
      </c>
      <c r="C2" s="3">
        <v>39.79</v>
      </c>
      <c r="D2">
        <v>50.77</v>
      </c>
      <c r="E2">
        <v>61.86</v>
      </c>
    </row>
    <row r="3" spans="1:9" x14ac:dyDescent="0.3">
      <c r="A3">
        <v>2.8</v>
      </c>
      <c r="B3">
        <v>30.25</v>
      </c>
      <c r="C3">
        <v>38.92</v>
      </c>
      <c r="D3">
        <v>50.06</v>
      </c>
      <c r="E3">
        <v>58.84</v>
      </c>
    </row>
    <row r="4" spans="1:9" x14ac:dyDescent="0.3">
      <c r="A4">
        <v>3.1</v>
      </c>
      <c r="B4">
        <v>27.31</v>
      </c>
      <c r="C4">
        <v>32.799999999999997</v>
      </c>
      <c r="D4">
        <v>47.97</v>
      </c>
      <c r="E4">
        <v>54.35</v>
      </c>
    </row>
    <row r="5" spans="1:9" x14ac:dyDescent="0.3">
      <c r="A5">
        <v>3.4</v>
      </c>
      <c r="B5">
        <v>24.01</v>
      </c>
      <c r="C5">
        <v>32.92</v>
      </c>
      <c r="D5">
        <v>46.42</v>
      </c>
      <c r="E5">
        <v>54.68</v>
      </c>
    </row>
    <row r="6" spans="1:9" x14ac:dyDescent="0.3">
      <c r="A6" s="4">
        <v>3.7</v>
      </c>
      <c r="B6" s="4">
        <v>25.8</v>
      </c>
      <c r="C6" s="4">
        <v>31.87</v>
      </c>
      <c r="D6" s="4">
        <v>46.39</v>
      </c>
      <c r="E6" s="4">
        <v>53.05</v>
      </c>
    </row>
    <row r="7" spans="1:9" x14ac:dyDescent="0.3">
      <c r="A7">
        <v>4</v>
      </c>
      <c r="B7">
        <v>23.77</v>
      </c>
      <c r="C7">
        <v>31.29</v>
      </c>
      <c r="D7">
        <v>42.8</v>
      </c>
      <c r="E7">
        <v>50.82</v>
      </c>
    </row>
    <row r="8" spans="1:9" x14ac:dyDescent="0.3">
      <c r="A8">
        <v>4.3</v>
      </c>
      <c r="B8">
        <v>22.58</v>
      </c>
      <c r="C8">
        <v>29.18</v>
      </c>
      <c r="D8">
        <v>40.82</v>
      </c>
      <c r="E8">
        <v>49.01</v>
      </c>
    </row>
    <row r="9" spans="1:9" x14ac:dyDescent="0.3">
      <c r="A9">
        <v>4.5999999999999996</v>
      </c>
      <c r="B9">
        <v>21.93</v>
      </c>
      <c r="C9">
        <v>27.24</v>
      </c>
      <c r="D9">
        <v>39.26</v>
      </c>
      <c r="E9">
        <v>47.82</v>
      </c>
    </row>
    <row r="10" spans="1:9" x14ac:dyDescent="0.3">
      <c r="A10">
        <v>4.93</v>
      </c>
      <c r="B10">
        <v>21.32</v>
      </c>
      <c r="C10">
        <v>27.68</v>
      </c>
      <c r="D10">
        <v>40.380000000000003</v>
      </c>
      <c r="E10">
        <v>45.18</v>
      </c>
    </row>
    <row r="11" spans="1:9" x14ac:dyDescent="0.3">
      <c r="A11">
        <v>4.92</v>
      </c>
      <c r="B11">
        <v>22.37</v>
      </c>
      <c r="C11">
        <v>26.51</v>
      </c>
      <c r="D11">
        <v>40.4</v>
      </c>
      <c r="E11">
        <v>45.94</v>
      </c>
    </row>
    <row r="12" spans="1:9" x14ac:dyDescent="0.3">
      <c r="A12">
        <v>4.8</v>
      </c>
      <c r="B12">
        <v>22.63</v>
      </c>
      <c r="C12">
        <v>27.48</v>
      </c>
      <c r="D12">
        <v>41.26</v>
      </c>
      <c r="E12">
        <v>45.63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60EF-64E4-4533-86B1-E327B95937E3}">
  <dimension ref="A1:M16"/>
  <sheetViews>
    <sheetView workbookViewId="0">
      <selection activeCell="L1" sqref="L1:M3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5" t="s">
        <v>3</v>
      </c>
      <c r="G1" s="1" t="s">
        <v>4</v>
      </c>
      <c r="H1" s="1" t="s">
        <v>3</v>
      </c>
      <c r="I1" s="1" t="s">
        <v>5</v>
      </c>
      <c r="J1" s="5" t="s">
        <v>3</v>
      </c>
      <c r="L1" s="2" t="s">
        <v>6</v>
      </c>
      <c r="M1" s="2" t="s">
        <v>3</v>
      </c>
    </row>
    <row r="2" spans="1:13" x14ac:dyDescent="0.3">
      <c r="A2">
        <v>2.5099999999999998</v>
      </c>
      <c r="C2">
        <v>31.49</v>
      </c>
      <c r="E2" s="3">
        <v>39.79</v>
      </c>
      <c r="F2" s="6">
        <f>AVERAGE(C2,E2)</f>
        <v>35.64</v>
      </c>
      <c r="G2">
        <v>50.77</v>
      </c>
      <c r="I2">
        <v>61.86</v>
      </c>
      <c r="J2" s="6">
        <f>AVERAGE(G2,I2)</f>
        <v>56.314999999999998</v>
      </c>
      <c r="L2">
        <v>89.5</v>
      </c>
      <c r="M2">
        <f>+-0.1</f>
        <v>-0.1</v>
      </c>
    </row>
    <row r="3" spans="1:13" x14ac:dyDescent="0.3">
      <c r="A3">
        <v>2.8</v>
      </c>
      <c r="C3">
        <v>30.25</v>
      </c>
      <c r="E3">
        <v>38.92</v>
      </c>
      <c r="F3" s="6">
        <f t="shared" ref="F3:J16" si="0">AVERAGE(C3,E3)</f>
        <v>34.585000000000001</v>
      </c>
      <c r="G3">
        <v>50.06</v>
      </c>
      <c r="I3">
        <v>58.84</v>
      </c>
      <c r="J3" s="6">
        <f t="shared" si="0"/>
        <v>54.45</v>
      </c>
    </row>
    <row r="4" spans="1:13" x14ac:dyDescent="0.3">
      <c r="A4">
        <v>3.1</v>
      </c>
      <c r="C4">
        <v>27.31</v>
      </c>
      <c r="E4">
        <v>32.799999999999997</v>
      </c>
      <c r="F4" s="6">
        <f t="shared" si="0"/>
        <v>30.055</v>
      </c>
      <c r="G4">
        <v>47.97</v>
      </c>
      <c r="I4">
        <v>54.35</v>
      </c>
      <c r="J4" s="6">
        <f t="shared" si="0"/>
        <v>51.16</v>
      </c>
    </row>
    <row r="5" spans="1:13" x14ac:dyDescent="0.3">
      <c r="A5">
        <v>3.4</v>
      </c>
      <c r="C5">
        <v>24.01</v>
      </c>
      <c r="E5">
        <v>32.92</v>
      </c>
      <c r="F5" s="6">
        <f t="shared" si="0"/>
        <v>28.465000000000003</v>
      </c>
      <c r="G5">
        <v>46.42</v>
      </c>
      <c r="I5">
        <v>54.68</v>
      </c>
      <c r="J5" s="6">
        <f t="shared" si="0"/>
        <v>50.55</v>
      </c>
    </row>
    <row r="6" spans="1:13" x14ac:dyDescent="0.3">
      <c r="A6" s="4">
        <v>3.7</v>
      </c>
      <c r="B6" s="4"/>
      <c r="C6" s="4">
        <v>25.8</v>
      </c>
      <c r="D6" s="4"/>
      <c r="E6" s="4">
        <v>31.87</v>
      </c>
      <c r="F6" s="6">
        <f t="shared" si="0"/>
        <v>28.835000000000001</v>
      </c>
      <c r="G6" s="4">
        <v>46.39</v>
      </c>
      <c r="I6" s="4">
        <v>53.05</v>
      </c>
      <c r="J6" s="6">
        <f t="shared" si="0"/>
        <v>49.72</v>
      </c>
    </row>
    <row r="7" spans="1:13" x14ac:dyDescent="0.3">
      <c r="A7">
        <v>4</v>
      </c>
      <c r="C7">
        <v>23.77</v>
      </c>
      <c r="E7">
        <v>31.29</v>
      </c>
      <c r="F7" s="6">
        <f t="shared" si="0"/>
        <v>27.53</v>
      </c>
      <c r="G7">
        <v>42.8</v>
      </c>
      <c r="I7">
        <v>50.82</v>
      </c>
      <c r="J7" s="6">
        <f t="shared" si="0"/>
        <v>46.81</v>
      </c>
    </row>
    <row r="8" spans="1:13" x14ac:dyDescent="0.3">
      <c r="A8">
        <v>4.3</v>
      </c>
      <c r="C8">
        <v>22.58</v>
      </c>
      <c r="E8">
        <v>29.18</v>
      </c>
      <c r="F8" s="6">
        <f t="shared" si="0"/>
        <v>25.88</v>
      </c>
      <c r="G8">
        <v>40.82</v>
      </c>
      <c r="I8">
        <v>49.01</v>
      </c>
      <c r="J8" s="6">
        <f t="shared" si="0"/>
        <v>44.914999999999999</v>
      </c>
    </row>
    <row r="9" spans="1:13" x14ac:dyDescent="0.3">
      <c r="A9">
        <v>4.5999999999999996</v>
      </c>
      <c r="C9">
        <v>21.93</v>
      </c>
      <c r="E9">
        <v>27.24</v>
      </c>
      <c r="F9" s="6">
        <f t="shared" si="0"/>
        <v>24.585000000000001</v>
      </c>
      <c r="G9">
        <v>39.26</v>
      </c>
      <c r="I9">
        <v>47.82</v>
      </c>
      <c r="J9" s="6">
        <f t="shared" si="0"/>
        <v>43.54</v>
      </c>
    </row>
    <row r="10" spans="1:13" x14ac:dyDescent="0.3">
      <c r="A10">
        <v>4.93</v>
      </c>
      <c r="C10">
        <v>21.32</v>
      </c>
      <c r="E10">
        <v>27.68</v>
      </c>
      <c r="F10" s="6">
        <f t="shared" si="0"/>
        <v>24.5</v>
      </c>
      <c r="G10">
        <v>40.380000000000003</v>
      </c>
      <c r="I10">
        <v>45.18</v>
      </c>
      <c r="J10" s="6">
        <f t="shared" si="0"/>
        <v>42.78</v>
      </c>
    </row>
    <row r="11" spans="1:13" x14ac:dyDescent="0.3">
      <c r="A11">
        <v>4.92</v>
      </c>
      <c r="C11">
        <v>22.37</v>
      </c>
      <c r="E11">
        <v>26.51</v>
      </c>
      <c r="F11" s="6">
        <f t="shared" si="0"/>
        <v>24.44</v>
      </c>
      <c r="G11">
        <v>40.4</v>
      </c>
      <c r="I11">
        <v>45.94</v>
      </c>
      <c r="J11" s="6">
        <f t="shared" si="0"/>
        <v>43.17</v>
      </c>
    </row>
    <row r="12" spans="1:13" x14ac:dyDescent="0.3">
      <c r="A12">
        <v>4.8</v>
      </c>
      <c r="C12">
        <v>22.63</v>
      </c>
      <c r="E12">
        <v>27.48</v>
      </c>
      <c r="F12" s="6">
        <f t="shared" si="0"/>
        <v>25.055</v>
      </c>
      <c r="G12">
        <v>41.26</v>
      </c>
      <c r="I12">
        <v>45.63</v>
      </c>
      <c r="J12" s="6">
        <f t="shared" si="0"/>
        <v>43.445</v>
      </c>
    </row>
    <row r="13" spans="1:13" x14ac:dyDescent="0.3">
      <c r="A13">
        <v>4.5999999999999996</v>
      </c>
      <c r="C13">
        <v>22.31</v>
      </c>
      <c r="F13" s="6">
        <f t="shared" si="0"/>
        <v>22.31</v>
      </c>
      <c r="J13" s="6" t="e">
        <f t="shared" si="0"/>
        <v>#DIV/0!</v>
      </c>
    </row>
    <row r="14" spans="1:13" x14ac:dyDescent="0.3">
      <c r="F14" s="6" t="e">
        <f t="shared" si="0"/>
        <v>#DIV/0!</v>
      </c>
      <c r="J14" s="6" t="e">
        <f t="shared" si="0"/>
        <v>#DIV/0!</v>
      </c>
    </row>
    <row r="15" spans="1:13" x14ac:dyDescent="0.3">
      <c r="F15" s="6" t="e">
        <f t="shared" si="0"/>
        <v>#DIV/0!</v>
      </c>
      <c r="J15" s="6" t="e">
        <f>AVERAGE(G14,I14)</f>
        <v>#DIV/0!</v>
      </c>
    </row>
    <row r="16" spans="1:13" x14ac:dyDescent="0.3">
      <c r="F16" s="6" t="e">
        <f t="shared" si="0"/>
        <v>#DIV/0!</v>
      </c>
      <c r="J16" s="6" t="e">
        <f>AVERAGE(G15,I15)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LOPEZ MARTIN</dc:creator>
  <cp:lastModifiedBy>Alex</cp:lastModifiedBy>
  <dcterms:created xsi:type="dcterms:W3CDTF">2026-10-16T13:56:55Z</dcterms:created>
  <dcterms:modified xsi:type="dcterms:W3CDTF">2026-10-16T15:38:43Z</dcterms:modified>
</cp:coreProperties>
</file>