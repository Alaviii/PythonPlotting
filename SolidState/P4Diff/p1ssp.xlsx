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\Downloads\"/>
    </mc:Choice>
  </mc:AlternateContent>
  <xr:revisionPtr revIDLastSave="0" documentId="13_ncr:1_{48FB38D2-3553-4EF0-BEA6-FDC953D067A3}" xr6:coauthVersionLast="47" xr6:coauthVersionMax="47" xr10:uidLastSave="{00000000-0000-0000-0000-000000000000}"/>
  <bookViews>
    <workbookView xWindow="-108" yWindow="-108" windowWidth="23256" windowHeight="12456" activeTab="2" xr2:uid="{AA797605-340E-4B6C-B0D2-B3B72F2A195D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8" i="2" l="1"/>
  <c r="J19" i="2"/>
  <c r="J20" i="2"/>
  <c r="J2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R13" i="2"/>
  <c r="J4" i="2"/>
  <c r="J3" i="2"/>
  <c r="J2" i="2"/>
  <c r="F2" i="2"/>
</calcChain>
</file>

<file path=xl/sharedStrings.xml><?xml version="1.0" encoding="utf-8"?>
<sst xmlns="http://schemas.openxmlformats.org/spreadsheetml/2006/main" count="22" uniqueCount="13">
  <si>
    <t>V (kV)</t>
  </si>
  <si>
    <t>errV (kV)</t>
  </si>
  <si>
    <t>l_in_peque</t>
  </si>
  <si>
    <t>err</t>
  </si>
  <si>
    <t>l_in_grande</t>
  </si>
  <si>
    <t>l_exterior_grande</t>
  </si>
  <si>
    <t>diam</t>
  </si>
  <si>
    <t>l_exterior_peque (mm)</t>
  </si>
  <si>
    <t>l_in_peque_2</t>
  </si>
  <si>
    <t>l_exterior_peque_2</t>
  </si>
  <si>
    <t xml:space="preserve">l_exterior_peque </t>
  </si>
  <si>
    <t>l_in_grande_2</t>
  </si>
  <si>
    <t>l_exterior_grande_2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</si>
</sst>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0" xfId="0" applyFill="1" applyBorder="1"/>
    <xf numFmtId="2" fontId="0" fillId="0" borderId="0" xfId="0" applyNumberFormat="1"/>
    <xf numFmtId="0" fontId="0" fillId="3" borderId="1" xfId="0" applyFill="1" applyBorder="1"/>
    <xf numFmtId="2" fontId="0" fillId="3" borderId="0" xfId="0" applyNumberForma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2" borderId="2" xfId="0" applyFill="1" applyBorder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2F4A-D0A5-4457-8B4A-786215AB6BB2}">
  <dimension ref="A1:E11"/>
  <sheetViews>
    <sheetView workbookViewId="0">
      <selection activeCell="C24" sqref="C24"/>
    </sheetView>
  </sheetViews>
  <sheetFormatPr defaultRowHeight="14.4" x14ac:dyDescent="0.3"/>
  <cols>
    <col min="2" max="2" width="9.44140625" bestFit="1" customWidth="1"/>
    <col min="3" max="3" width="14.5546875" bestFit="1" customWidth="1"/>
    <col min="4" max="4" width="10" bestFit="1" customWidth="1"/>
    <col min="5" max="5" width="14.77734375" bestFit="1" customWidth="1"/>
  </cols>
  <sheetData>
    <row r="1" spans="1:5" x14ac:dyDescent="0.3">
      <c r="A1" s="1" t="s">
        <v>0</v>
      </c>
      <c r="B1" s="1" t="s">
        <v>2</v>
      </c>
      <c r="C1" s="1" t="s">
        <v>10</v>
      </c>
      <c r="D1" s="10" t="s">
        <v>8</v>
      </c>
      <c r="E1" s="10" t="s">
        <v>9</v>
      </c>
    </row>
    <row r="2" spans="1:5" x14ac:dyDescent="0.3">
      <c r="A2">
        <v>2.5099999999999998</v>
      </c>
      <c r="B2">
        <v>31.49</v>
      </c>
      <c r="C2" s="3">
        <v>39.79</v>
      </c>
      <c r="D2">
        <v>32.33</v>
      </c>
      <c r="E2">
        <v>38.18</v>
      </c>
    </row>
    <row r="3" spans="1:5" x14ac:dyDescent="0.3">
      <c r="A3">
        <v>2.8</v>
      </c>
      <c r="B3">
        <v>30.25</v>
      </c>
      <c r="C3">
        <v>38.92</v>
      </c>
      <c r="D3">
        <v>29.47</v>
      </c>
      <c r="E3">
        <v>35.11</v>
      </c>
    </row>
    <row r="4" spans="1:5" x14ac:dyDescent="0.3">
      <c r="A4">
        <v>3.1</v>
      </c>
      <c r="B4">
        <v>27.31</v>
      </c>
      <c r="C4">
        <v>32.799999999999997</v>
      </c>
      <c r="D4">
        <v>27.84</v>
      </c>
      <c r="E4">
        <v>33.18</v>
      </c>
    </row>
    <row r="5" spans="1:5" x14ac:dyDescent="0.3">
      <c r="A5">
        <v>3.4</v>
      </c>
      <c r="B5">
        <v>24.01</v>
      </c>
      <c r="C5">
        <v>32.92</v>
      </c>
      <c r="D5">
        <v>26.33</v>
      </c>
      <c r="E5">
        <v>32.159999999999997</v>
      </c>
    </row>
    <row r="6" spans="1:5" x14ac:dyDescent="0.3">
      <c r="A6">
        <v>3.7</v>
      </c>
      <c r="B6">
        <v>26.11</v>
      </c>
      <c r="C6">
        <v>30.44</v>
      </c>
      <c r="D6">
        <v>25.87</v>
      </c>
      <c r="E6">
        <v>30.63</v>
      </c>
    </row>
    <row r="7" spans="1:5" x14ac:dyDescent="0.3">
      <c r="A7" s="11">
        <v>4</v>
      </c>
      <c r="B7" s="11">
        <v>23.77</v>
      </c>
      <c r="C7" s="11">
        <v>31.29</v>
      </c>
      <c r="D7" s="11">
        <v>23.8</v>
      </c>
      <c r="E7" s="11">
        <v>30.58</v>
      </c>
    </row>
    <row r="8" spans="1:5" x14ac:dyDescent="0.3">
      <c r="A8" s="9">
        <v>4.3</v>
      </c>
      <c r="B8" s="9">
        <v>22.58</v>
      </c>
      <c r="C8" s="9">
        <v>29.18</v>
      </c>
      <c r="D8" s="9">
        <v>22.47</v>
      </c>
      <c r="E8" s="9">
        <v>28.58</v>
      </c>
    </row>
    <row r="9" spans="1:5" x14ac:dyDescent="0.3">
      <c r="A9" s="8">
        <v>4.5999999999999996</v>
      </c>
      <c r="B9" s="8">
        <v>21.93</v>
      </c>
      <c r="C9" s="8">
        <v>27.24</v>
      </c>
      <c r="D9" s="8">
        <v>22.31</v>
      </c>
      <c r="E9" s="8">
        <v>27.47</v>
      </c>
    </row>
    <row r="10" spans="1:5" x14ac:dyDescent="0.3">
      <c r="A10" s="7">
        <v>4.8</v>
      </c>
      <c r="B10" s="7">
        <v>21.97</v>
      </c>
      <c r="C10" s="7">
        <v>27.14</v>
      </c>
      <c r="D10" s="7">
        <v>22.63</v>
      </c>
      <c r="E10" s="7">
        <v>27.55</v>
      </c>
    </row>
    <row r="11" spans="1:5" x14ac:dyDescent="0.3">
      <c r="A11" s="6">
        <v>4.93</v>
      </c>
      <c r="B11" s="6">
        <v>21.32</v>
      </c>
      <c r="C11" s="6">
        <v>27.68</v>
      </c>
      <c r="D11" s="6">
        <v>22.37</v>
      </c>
      <c r="E11" s="6">
        <v>26.51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948E8-EFF0-4463-BE2C-F1B5A9628FAD}">
  <dimension ref="A1:E11"/>
  <sheetViews>
    <sheetView workbookViewId="0">
      <selection activeCell="H9" sqref="H9"/>
    </sheetView>
  </sheetViews>
  <sheetFormatPr defaultRowHeight="14.4" x14ac:dyDescent="0.3"/>
  <cols>
    <col min="2" max="2" width="10" bestFit="1" customWidth="1"/>
    <col min="3" max="3" width="14.77734375" bestFit="1" customWidth="1"/>
    <col min="4" max="4" width="11.77734375" bestFit="1" customWidth="1"/>
    <col min="5" max="5" width="18.88671875" bestFit="1" customWidth="1"/>
  </cols>
  <sheetData>
    <row r="1" spans="1:5" x14ac:dyDescent="0.3">
      <c r="A1" s="1" t="s">
        <v>0</v>
      </c>
      <c r="B1" s="1" t="s">
        <v>4</v>
      </c>
      <c r="C1" s="1" t="s">
        <v>5</v>
      </c>
      <c r="D1" s="1" t="s">
        <v>11</v>
      </c>
      <c r="E1" s="1" t="s">
        <v>12</v>
      </c>
    </row>
    <row r="2" spans="1:5" x14ac:dyDescent="0.3">
      <c r="A2">
        <v>2.5099999999999998</v>
      </c>
      <c r="B2">
        <v>50.77</v>
      </c>
      <c r="C2">
        <v>61.86</v>
      </c>
      <c r="D2">
        <v>54.89</v>
      </c>
      <c r="E2">
        <v>60.63</v>
      </c>
    </row>
    <row r="3" spans="1:5" x14ac:dyDescent="0.3">
      <c r="A3">
        <v>2.8</v>
      </c>
      <c r="B3">
        <v>50.06</v>
      </c>
      <c r="C3">
        <v>58.84</v>
      </c>
      <c r="D3">
        <v>51.72</v>
      </c>
      <c r="E3">
        <v>58.01</v>
      </c>
    </row>
    <row r="4" spans="1:5" x14ac:dyDescent="0.3">
      <c r="A4">
        <v>3.1</v>
      </c>
      <c r="B4">
        <v>47.97</v>
      </c>
      <c r="C4">
        <v>54.35</v>
      </c>
      <c r="D4">
        <v>47.87</v>
      </c>
      <c r="E4">
        <v>55.56</v>
      </c>
    </row>
    <row r="5" spans="1:5" x14ac:dyDescent="0.3">
      <c r="A5">
        <v>3.4</v>
      </c>
      <c r="B5">
        <v>46.42</v>
      </c>
      <c r="C5">
        <v>54.68</v>
      </c>
      <c r="D5">
        <v>47.94</v>
      </c>
      <c r="E5">
        <v>54.46</v>
      </c>
    </row>
    <row r="6" spans="1:5" x14ac:dyDescent="0.3">
      <c r="A6">
        <v>3.7</v>
      </c>
      <c r="B6">
        <v>45.92</v>
      </c>
      <c r="C6">
        <v>50.81</v>
      </c>
      <c r="D6">
        <v>44.4</v>
      </c>
      <c r="E6">
        <v>53.45</v>
      </c>
    </row>
    <row r="7" spans="1:5" x14ac:dyDescent="0.3">
      <c r="A7" s="11">
        <v>4</v>
      </c>
      <c r="B7" s="11">
        <v>42.8</v>
      </c>
      <c r="C7" s="11">
        <v>50.82</v>
      </c>
      <c r="D7" s="11">
        <v>44.12</v>
      </c>
      <c r="E7" s="11">
        <v>50.26</v>
      </c>
    </row>
    <row r="8" spans="1:5" x14ac:dyDescent="0.3">
      <c r="A8" s="9">
        <v>4.3</v>
      </c>
      <c r="B8" s="9">
        <v>40.82</v>
      </c>
      <c r="C8" s="9">
        <v>49.01</v>
      </c>
      <c r="D8" s="9">
        <v>42.14</v>
      </c>
      <c r="E8" s="9">
        <v>48.12</v>
      </c>
    </row>
    <row r="9" spans="1:5" x14ac:dyDescent="0.3">
      <c r="A9" s="8">
        <v>4.5999999999999996</v>
      </c>
      <c r="B9" s="8">
        <v>39.26</v>
      </c>
      <c r="C9" s="8">
        <v>47.82</v>
      </c>
      <c r="D9" s="8">
        <v>40.96</v>
      </c>
      <c r="E9" s="8">
        <v>45.58</v>
      </c>
    </row>
    <row r="10" spans="1:5" x14ac:dyDescent="0.3">
      <c r="A10" s="7">
        <v>4.8</v>
      </c>
      <c r="B10" s="7">
        <v>40.03</v>
      </c>
      <c r="C10" s="7">
        <v>47.43</v>
      </c>
      <c r="D10" s="7">
        <v>41.26</v>
      </c>
      <c r="E10" s="7">
        <v>45.63</v>
      </c>
    </row>
    <row r="11" spans="1:5" x14ac:dyDescent="0.3">
      <c r="A11" s="6">
        <v>4.93</v>
      </c>
      <c r="B11" s="6">
        <v>40.380000000000003</v>
      </c>
      <c r="C11" s="6">
        <v>45.18</v>
      </c>
      <c r="D11" s="6">
        <v>40.4</v>
      </c>
      <c r="E11" s="6">
        <v>45.94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60EF-64E4-4533-86B1-E327B95937E3}">
  <dimension ref="A1:R21"/>
  <sheetViews>
    <sheetView tabSelected="1" zoomScale="85" zoomScaleNormal="85" workbookViewId="0">
      <selection sqref="A1:J21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4" t="s">
        <v>3</v>
      </c>
      <c r="G1" s="1" t="s">
        <v>4</v>
      </c>
      <c r="H1" s="1" t="s">
        <v>3</v>
      </c>
      <c r="I1" s="1" t="s">
        <v>5</v>
      </c>
      <c r="J1" s="4" t="s">
        <v>3</v>
      </c>
    </row>
    <row r="2" spans="1:18" x14ac:dyDescent="0.3">
      <c r="A2">
        <v>2.5099999999999998</v>
      </c>
      <c r="C2">
        <v>31.49</v>
      </c>
      <c r="E2" s="3">
        <v>39.79</v>
      </c>
      <c r="F2" s="5">
        <f>AVERAGE(C2,E2)</f>
        <v>35.64</v>
      </c>
      <c r="G2">
        <v>50.77</v>
      </c>
      <c r="I2">
        <v>61.86</v>
      </c>
      <c r="J2" s="5">
        <f>AVERAGE(G2,I2)</f>
        <v>56.314999999999998</v>
      </c>
    </row>
    <row r="3" spans="1:18" x14ac:dyDescent="0.3">
      <c r="A3">
        <v>2.8</v>
      </c>
      <c r="C3">
        <v>30.25</v>
      </c>
      <c r="E3">
        <v>38.92</v>
      </c>
      <c r="F3" s="5">
        <f t="shared" ref="F3:F21" si="0">AVERAGE(C3,E3)</f>
        <v>34.585000000000001</v>
      </c>
      <c r="G3">
        <v>50.06</v>
      </c>
      <c r="I3">
        <v>58.84</v>
      </c>
      <c r="J3" s="5">
        <f t="shared" ref="F3:J19" si="1">AVERAGE(G3,I3)</f>
        <v>54.45</v>
      </c>
    </row>
    <row r="4" spans="1:18" x14ac:dyDescent="0.3">
      <c r="A4">
        <v>3.1</v>
      </c>
      <c r="C4">
        <v>27.31</v>
      </c>
      <c r="E4">
        <v>32.799999999999997</v>
      </c>
      <c r="F4" s="5">
        <f t="shared" si="0"/>
        <v>30.055</v>
      </c>
      <c r="G4">
        <v>47.97</v>
      </c>
      <c r="I4">
        <v>54.35</v>
      </c>
      <c r="J4" s="5">
        <f t="shared" si="1"/>
        <v>51.16</v>
      </c>
    </row>
    <row r="5" spans="1:18" x14ac:dyDescent="0.3">
      <c r="A5">
        <v>3.4</v>
      </c>
      <c r="C5">
        <v>24.01</v>
      </c>
      <c r="E5">
        <v>32.92</v>
      </c>
      <c r="F5" s="5">
        <f t="shared" si="0"/>
        <v>28.465000000000003</v>
      </c>
      <c r="G5">
        <v>46.42</v>
      </c>
      <c r="I5">
        <v>54.68</v>
      </c>
      <c r="J5" s="5">
        <f t="shared" si="1"/>
        <v>50.55</v>
      </c>
    </row>
    <row r="6" spans="1:18" x14ac:dyDescent="0.3">
      <c r="A6">
        <v>3.7</v>
      </c>
      <c r="C6">
        <v>26.11</v>
      </c>
      <c r="E6">
        <v>30.44</v>
      </c>
      <c r="F6" s="5">
        <f t="shared" si="0"/>
        <v>28.274999999999999</v>
      </c>
      <c r="G6">
        <v>45.92</v>
      </c>
      <c r="I6">
        <v>50.81</v>
      </c>
      <c r="J6" s="5">
        <f t="shared" si="1"/>
        <v>48.365000000000002</v>
      </c>
    </row>
    <row r="7" spans="1:18" x14ac:dyDescent="0.3">
      <c r="A7" s="11">
        <v>4</v>
      </c>
      <c r="B7" s="11"/>
      <c r="C7" s="11">
        <v>23.77</v>
      </c>
      <c r="D7" s="11"/>
      <c r="E7" s="11">
        <v>31.29</v>
      </c>
      <c r="F7" s="5">
        <f t="shared" si="0"/>
        <v>27.53</v>
      </c>
      <c r="G7" s="11">
        <v>42.8</v>
      </c>
      <c r="H7" s="11"/>
      <c r="I7" s="11">
        <v>50.82</v>
      </c>
      <c r="J7" s="5">
        <f t="shared" si="1"/>
        <v>46.81</v>
      </c>
    </row>
    <row r="8" spans="1:18" x14ac:dyDescent="0.3">
      <c r="A8" s="9">
        <v>4.3</v>
      </c>
      <c r="B8" s="9"/>
      <c r="C8" s="9">
        <v>22.58</v>
      </c>
      <c r="D8" s="9"/>
      <c r="E8" s="9">
        <v>29.18</v>
      </c>
      <c r="F8" s="5">
        <f t="shared" si="0"/>
        <v>25.88</v>
      </c>
      <c r="G8" s="9">
        <v>40.82</v>
      </c>
      <c r="H8" s="9"/>
      <c r="I8" s="9">
        <v>49.01</v>
      </c>
      <c r="J8" s="5">
        <f t="shared" si="1"/>
        <v>44.914999999999999</v>
      </c>
    </row>
    <row r="9" spans="1:18" x14ac:dyDescent="0.3">
      <c r="A9" s="8">
        <v>4.5999999999999996</v>
      </c>
      <c r="B9" s="8"/>
      <c r="C9" s="8">
        <v>21.93</v>
      </c>
      <c r="D9" s="8"/>
      <c r="E9" s="8">
        <v>27.24</v>
      </c>
      <c r="F9" s="5">
        <f t="shared" si="0"/>
        <v>24.585000000000001</v>
      </c>
      <c r="G9" s="8">
        <v>39.26</v>
      </c>
      <c r="H9" s="8"/>
      <c r="I9" s="8">
        <v>47.82</v>
      </c>
      <c r="J9" s="5">
        <f t="shared" si="1"/>
        <v>43.54</v>
      </c>
    </row>
    <row r="10" spans="1:18" x14ac:dyDescent="0.3">
      <c r="A10" s="7">
        <v>4.8</v>
      </c>
      <c r="B10" s="7"/>
      <c r="C10" s="7">
        <v>21.97</v>
      </c>
      <c r="D10" s="7"/>
      <c r="E10" s="7">
        <v>27.14</v>
      </c>
      <c r="F10" s="5">
        <f t="shared" si="0"/>
        <v>24.555</v>
      </c>
      <c r="G10" s="7">
        <v>40.03</v>
      </c>
      <c r="H10" s="7"/>
      <c r="I10" s="7">
        <v>47.43</v>
      </c>
      <c r="J10" s="5">
        <f t="shared" si="1"/>
        <v>43.730000000000004</v>
      </c>
    </row>
    <row r="11" spans="1:18" x14ac:dyDescent="0.3">
      <c r="A11" s="6">
        <v>4.93</v>
      </c>
      <c r="B11" s="6"/>
      <c r="C11" s="6">
        <v>21.32</v>
      </c>
      <c r="D11" s="6"/>
      <c r="E11" s="6">
        <v>27.68</v>
      </c>
      <c r="F11" s="5">
        <f t="shared" si="0"/>
        <v>24.5</v>
      </c>
      <c r="G11" s="6">
        <v>40.380000000000003</v>
      </c>
      <c r="H11" s="6"/>
      <c r="I11" s="6">
        <v>45.18</v>
      </c>
      <c r="J11" s="5">
        <f t="shared" si="1"/>
        <v>42.78</v>
      </c>
    </row>
    <row r="12" spans="1:18" x14ac:dyDescent="0.3">
      <c r="A12" s="6">
        <v>4.92</v>
      </c>
      <c r="B12" s="6"/>
      <c r="C12" s="6">
        <v>22.37</v>
      </c>
      <c r="D12" s="6"/>
      <c r="E12" s="6">
        <v>26.51</v>
      </c>
      <c r="F12" s="5">
        <f t="shared" si="0"/>
        <v>24.44</v>
      </c>
      <c r="G12" s="6">
        <v>40.4</v>
      </c>
      <c r="H12" s="6"/>
      <c r="I12" s="6">
        <v>45.94</v>
      </c>
      <c r="J12" s="5">
        <f t="shared" si="1"/>
        <v>43.17</v>
      </c>
      <c r="Q12" s="2" t="s">
        <v>6</v>
      </c>
      <c r="R12" s="2" t="s">
        <v>3</v>
      </c>
    </row>
    <row r="13" spans="1:18" x14ac:dyDescent="0.3">
      <c r="A13" s="7">
        <v>4.8</v>
      </c>
      <c r="B13" s="7"/>
      <c r="C13" s="7">
        <v>22.63</v>
      </c>
      <c r="D13" s="7"/>
      <c r="E13" s="7">
        <v>27.55</v>
      </c>
      <c r="F13" s="5">
        <f t="shared" si="0"/>
        <v>25.09</v>
      </c>
      <c r="G13" s="7">
        <v>41.26</v>
      </c>
      <c r="H13" s="7"/>
      <c r="I13" s="7">
        <v>45.63</v>
      </c>
      <c r="J13" s="5">
        <f t="shared" si="1"/>
        <v>43.445</v>
      </c>
      <c r="Q13">
        <v>89.5</v>
      </c>
      <c r="R13">
        <f>+-0.1</f>
        <v>-0.1</v>
      </c>
    </row>
    <row r="14" spans="1:18" x14ac:dyDescent="0.3">
      <c r="A14" s="8">
        <v>4.5999999999999996</v>
      </c>
      <c r="B14" s="8"/>
      <c r="C14" s="8">
        <v>22.31</v>
      </c>
      <c r="D14" s="8"/>
      <c r="E14" s="8">
        <v>27.47</v>
      </c>
      <c r="F14" s="5">
        <f t="shared" si="0"/>
        <v>24.89</v>
      </c>
      <c r="G14" s="8">
        <v>40.96</v>
      </c>
      <c r="H14" s="8"/>
      <c r="I14" s="8">
        <v>45.58</v>
      </c>
      <c r="J14" s="5">
        <f t="shared" si="1"/>
        <v>43.269999999999996</v>
      </c>
    </row>
    <row r="15" spans="1:18" x14ac:dyDescent="0.3">
      <c r="A15" s="9">
        <v>4.3</v>
      </c>
      <c r="B15" s="9"/>
      <c r="C15" s="9">
        <v>22.47</v>
      </c>
      <c r="D15" s="9"/>
      <c r="E15" s="9">
        <v>28.58</v>
      </c>
      <c r="F15" s="5">
        <f t="shared" si="0"/>
        <v>25.524999999999999</v>
      </c>
      <c r="G15" s="9">
        <v>42.14</v>
      </c>
      <c r="H15" s="9"/>
      <c r="I15" s="9">
        <v>48.12</v>
      </c>
      <c r="J15" s="5">
        <f t="shared" si="1"/>
        <v>45.129999999999995</v>
      </c>
    </row>
    <row r="16" spans="1:18" x14ac:dyDescent="0.3">
      <c r="A16" s="11">
        <v>4</v>
      </c>
      <c r="B16" s="11"/>
      <c r="C16" s="11">
        <v>23.8</v>
      </c>
      <c r="D16" s="11"/>
      <c r="E16" s="11">
        <v>30.58</v>
      </c>
      <c r="F16" s="5">
        <f t="shared" si="0"/>
        <v>27.189999999999998</v>
      </c>
      <c r="G16" s="11">
        <v>44.12</v>
      </c>
      <c r="H16" s="11"/>
      <c r="I16" s="11">
        <v>50.26</v>
      </c>
      <c r="J16" s="5">
        <f t="shared" si="1"/>
        <v>47.19</v>
      </c>
    </row>
    <row r="17" spans="1:10" x14ac:dyDescent="0.3">
      <c r="A17">
        <v>3.7</v>
      </c>
      <c r="C17">
        <v>25.87</v>
      </c>
      <c r="E17">
        <v>30.63</v>
      </c>
      <c r="F17" s="5">
        <f t="shared" si="0"/>
        <v>28.25</v>
      </c>
      <c r="G17">
        <v>44.4</v>
      </c>
      <c r="I17">
        <v>53.45</v>
      </c>
      <c r="J17" s="5">
        <f t="shared" si="1"/>
        <v>48.924999999999997</v>
      </c>
    </row>
    <row r="18" spans="1:10" x14ac:dyDescent="0.3">
      <c r="A18">
        <v>3.4</v>
      </c>
      <c r="C18">
        <v>26.33</v>
      </c>
      <c r="E18">
        <v>32.159999999999997</v>
      </c>
      <c r="F18" s="5">
        <f t="shared" si="0"/>
        <v>29.244999999999997</v>
      </c>
      <c r="G18">
        <v>47.94</v>
      </c>
      <c r="I18">
        <v>54.46</v>
      </c>
      <c r="J18" s="5">
        <f>AVERAGE(G18,I18)</f>
        <v>51.2</v>
      </c>
    </row>
    <row r="19" spans="1:10" x14ac:dyDescent="0.3">
      <c r="A19">
        <v>3.1</v>
      </c>
      <c r="C19">
        <v>27.84</v>
      </c>
      <c r="E19">
        <v>33.18</v>
      </c>
      <c r="F19" s="5">
        <f t="shared" si="0"/>
        <v>30.509999999999998</v>
      </c>
      <c r="G19">
        <v>47.87</v>
      </c>
      <c r="I19">
        <v>55.56</v>
      </c>
      <c r="J19" s="5">
        <f t="shared" si="1"/>
        <v>51.715000000000003</v>
      </c>
    </row>
    <row r="20" spans="1:10" x14ac:dyDescent="0.3">
      <c r="A20">
        <v>2.8</v>
      </c>
      <c r="C20">
        <v>29.47</v>
      </c>
      <c r="E20">
        <v>35.11</v>
      </c>
      <c r="F20" s="5">
        <f t="shared" si="0"/>
        <v>32.29</v>
      </c>
      <c r="G20">
        <v>51.72</v>
      </c>
      <c r="I20">
        <v>58.01</v>
      </c>
      <c r="J20" s="5">
        <f t="shared" ref="J20:J21" si="2">AVERAGE(G20,I20)</f>
        <v>54.864999999999995</v>
      </c>
    </row>
    <row r="21" spans="1:10" x14ac:dyDescent="0.3">
      <c r="A21">
        <v>2.5</v>
      </c>
      <c r="C21">
        <v>32.33</v>
      </c>
      <c r="E21">
        <v>38.18</v>
      </c>
      <c r="F21" s="5">
        <f t="shared" si="0"/>
        <v>35.254999999999995</v>
      </c>
      <c r="G21">
        <v>54.89</v>
      </c>
      <c r="I21">
        <v>60.63</v>
      </c>
      <c r="J21" s="5">
        <f t="shared" si="2"/>
        <v>57.760000000000005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LOPEZ MARTIN</dc:creator>
  <cp:lastModifiedBy>JULIA LOPEZ MARTIN</cp:lastModifiedBy>
  <dcterms:created xsi:type="dcterms:W3CDTF">2026-10-16T13:56:55Z</dcterms:created>
  <dcterms:modified xsi:type="dcterms:W3CDTF">2026-10-16T16:15:21Z</dcterms:modified>
</cp:coreProperties>
</file>