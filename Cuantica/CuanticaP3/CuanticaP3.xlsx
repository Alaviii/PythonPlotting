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x\Plotting\CuanticaP3\"/>
    </mc:Choice>
  </mc:AlternateContent>
  <xr:revisionPtr revIDLastSave="0" documentId="13_ncr:1_{71C8E58F-CEE8-4C6E-BE5A-7B20C9FF061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 1" sheetId="1" r:id="rId1"/>
    <sheet name="Alex" sheetId="2" r:id="rId2"/>
    <sheet name="Hoja 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3" l="1"/>
  <c r="A22" i="3"/>
  <c r="A21" i="3"/>
  <c r="A20" i="3"/>
  <c r="A19" i="3"/>
  <c r="A18" i="3"/>
  <c r="I14" i="3"/>
  <c r="D23" i="3" s="1"/>
  <c r="H14" i="3"/>
  <c r="F14" i="3"/>
  <c r="J14" i="3" s="1"/>
  <c r="B14" i="3"/>
  <c r="B23" i="3" s="1"/>
  <c r="I13" i="3"/>
  <c r="D22" i="3" s="1"/>
  <c r="H13" i="3"/>
  <c r="F13" i="3"/>
  <c r="C22" i="3" s="1"/>
  <c r="B13" i="3"/>
  <c r="B22" i="3" s="1"/>
  <c r="H12" i="3"/>
  <c r="G12" i="3"/>
  <c r="I12" i="3" s="1"/>
  <c r="D21" i="3" s="1"/>
  <c r="F12" i="3"/>
  <c r="C21" i="3" s="1"/>
  <c r="B12" i="3"/>
  <c r="B21" i="3" s="1"/>
  <c r="H11" i="3"/>
  <c r="G11" i="3"/>
  <c r="I11" i="3" s="1"/>
  <c r="D20" i="3" s="1"/>
  <c r="F11" i="3"/>
  <c r="C20" i="3" s="1"/>
  <c r="B11" i="3"/>
  <c r="B20" i="3" s="1"/>
  <c r="H10" i="3"/>
  <c r="G10" i="3"/>
  <c r="I10" i="3" s="1"/>
  <c r="D19" i="3" s="1"/>
  <c r="F10" i="3"/>
  <c r="C19" i="3" s="1"/>
  <c r="B10" i="3"/>
  <c r="B19" i="3" s="1"/>
  <c r="H9" i="3"/>
  <c r="G9" i="3"/>
  <c r="I9" i="3" s="1"/>
  <c r="D18" i="3" s="1"/>
  <c r="F9" i="3"/>
  <c r="J9" i="3" s="1"/>
  <c r="B9" i="3"/>
  <c r="B18" i="3" s="1"/>
  <c r="G5" i="3"/>
  <c r="K13" i="3" s="1"/>
  <c r="F22" i="3" s="1"/>
  <c r="F5" i="3"/>
  <c r="E5" i="3"/>
  <c r="D5" i="3"/>
  <c r="M9" i="3" s="1"/>
  <c r="H18" i="3" s="1"/>
  <c r="H63" i="1"/>
  <c r="G63" i="1"/>
  <c r="F63" i="1"/>
  <c r="H62" i="1"/>
  <c r="G62" i="1"/>
  <c r="F62" i="1"/>
  <c r="H61" i="1"/>
  <c r="G61" i="1"/>
  <c r="F61" i="1"/>
  <c r="H60" i="1"/>
  <c r="G60" i="1"/>
  <c r="F60" i="1"/>
  <c r="H59" i="1"/>
  <c r="G59" i="1"/>
  <c r="F59" i="1"/>
  <c r="H58" i="1"/>
  <c r="G58" i="1"/>
  <c r="F58" i="1"/>
  <c r="J51" i="1"/>
  <c r="J50" i="1"/>
  <c r="J49" i="1"/>
  <c r="J48" i="1"/>
  <c r="J47" i="1"/>
  <c r="J46" i="1"/>
  <c r="A46" i="1"/>
  <c r="I46" i="1" s="1"/>
  <c r="J37" i="1"/>
  <c r="A37" i="1"/>
  <c r="I37" i="1" s="1"/>
  <c r="J36" i="1"/>
  <c r="A36" i="1"/>
  <c r="I36" i="1" s="1"/>
  <c r="J35" i="1"/>
  <c r="I35" i="1"/>
  <c r="A35" i="1"/>
  <c r="J34" i="1"/>
  <c r="A34" i="1"/>
  <c r="I34" i="1" s="1"/>
  <c r="J33" i="1"/>
  <c r="A33" i="1"/>
  <c r="I33" i="1" s="1"/>
  <c r="J32" i="1"/>
  <c r="A32" i="1"/>
  <c r="I32" i="1" s="1"/>
  <c r="J24" i="1"/>
  <c r="I24" i="1"/>
  <c r="A24" i="1"/>
  <c r="A51" i="1" s="1"/>
  <c r="I51" i="1" s="1"/>
  <c r="J23" i="1"/>
  <c r="A23" i="1"/>
  <c r="I23" i="1" s="1"/>
  <c r="J22" i="1"/>
  <c r="A22" i="1"/>
  <c r="I22" i="1" s="1"/>
  <c r="J21" i="1"/>
  <c r="A21" i="1"/>
  <c r="A48" i="1" s="1"/>
  <c r="I48" i="1" s="1"/>
  <c r="J20" i="1"/>
  <c r="I20" i="1"/>
  <c r="A20" i="1"/>
  <c r="A47" i="1" s="1"/>
  <c r="I47" i="1" s="1"/>
  <c r="K19" i="1"/>
  <c r="J19" i="1"/>
  <c r="I19" i="1"/>
  <c r="A19" i="1"/>
  <c r="J10" i="1"/>
  <c r="I10" i="1"/>
  <c r="G10" i="1"/>
  <c r="F10" i="1"/>
  <c r="J9" i="1"/>
  <c r="I9" i="1"/>
  <c r="G9" i="1"/>
  <c r="F9" i="1"/>
  <c r="J8" i="1"/>
  <c r="I8" i="1"/>
  <c r="F8" i="1"/>
  <c r="E8" i="1"/>
  <c r="G8" i="1" s="1"/>
  <c r="J7" i="1"/>
  <c r="I7" i="1"/>
  <c r="F7" i="1"/>
  <c r="E7" i="1"/>
  <c r="G7" i="1" s="1"/>
  <c r="P6" i="1"/>
  <c r="J6" i="1"/>
  <c r="I6" i="1"/>
  <c r="F6" i="1"/>
  <c r="E6" i="1"/>
  <c r="G6" i="1" s="1"/>
  <c r="P5" i="1"/>
  <c r="P7" i="1" s="1"/>
  <c r="Q7" i="1" s="1"/>
  <c r="J5" i="1"/>
  <c r="I5" i="1"/>
  <c r="F5" i="1"/>
  <c r="E5" i="1"/>
  <c r="G5" i="1" s="1"/>
  <c r="P4" i="1"/>
  <c r="P9" i="1" s="1"/>
  <c r="Q9" i="1" s="1"/>
  <c r="P3" i="1"/>
  <c r="P8" i="1" s="1"/>
  <c r="Q8" i="1" s="1"/>
  <c r="E18" i="3" l="1"/>
  <c r="E23" i="3"/>
  <c r="L13" i="3"/>
  <c r="G22" i="3" s="1"/>
  <c r="J12" i="3"/>
  <c r="M13" i="3"/>
  <c r="H22" i="3" s="1"/>
  <c r="K12" i="3"/>
  <c r="F21" i="3" s="1"/>
  <c r="C18" i="3"/>
  <c r="J11" i="3"/>
  <c r="L12" i="3"/>
  <c r="G21" i="3" s="1"/>
  <c r="K11" i="3"/>
  <c r="F20" i="3" s="1"/>
  <c r="M12" i="3"/>
  <c r="H21" i="3" s="1"/>
  <c r="I21" i="1"/>
  <c r="J10" i="3"/>
  <c r="L11" i="3"/>
  <c r="G20" i="3" s="1"/>
  <c r="K10" i="3"/>
  <c r="F19" i="3" s="1"/>
  <c r="M11" i="3"/>
  <c r="H20" i="3" s="1"/>
  <c r="C23" i="3"/>
  <c r="P10" i="1"/>
  <c r="Q10" i="1" s="1"/>
  <c r="A49" i="1"/>
  <c r="I49" i="1" s="1"/>
  <c r="L10" i="3"/>
  <c r="G19" i="3" s="1"/>
  <c r="K9" i="3"/>
  <c r="F18" i="3" s="1"/>
  <c r="M10" i="3"/>
  <c r="H19" i="3" s="1"/>
  <c r="K14" i="3"/>
  <c r="F23" i="3" s="1"/>
  <c r="L9" i="3"/>
  <c r="G18" i="3" s="1"/>
  <c r="L14" i="3"/>
  <c r="G23" i="3" s="1"/>
  <c r="J13" i="3"/>
  <c r="M14" i="3"/>
  <c r="H23" i="3" s="1"/>
  <c r="A50" i="1"/>
  <c r="I50" i="1" s="1"/>
  <c r="N12" i="3" l="1"/>
  <c r="E21" i="3"/>
  <c r="E20" i="3"/>
  <c r="N11" i="3"/>
  <c r="N13" i="3"/>
  <c r="E22" i="3"/>
  <c r="N10" i="3"/>
  <c r="E19" i="3"/>
  <c r="N14" i="3"/>
  <c r="N9" i="3"/>
</calcChain>
</file>

<file path=xl/sharedStrings.xml><?xml version="1.0" encoding="utf-8"?>
<sst xmlns="http://schemas.openxmlformats.org/spreadsheetml/2006/main" count="73" uniqueCount="45">
  <si>
    <t>First ring</t>
  </si>
  <si>
    <t>cosas (en SI)</t>
  </si>
  <si>
    <t>R</t>
  </si>
  <si>
    <t>V (kV) sensibilidad 10 V</t>
  </si>
  <si>
    <t>d (cm) sensibilidad 0,05 mm</t>
  </si>
  <si>
    <t>UA</t>
  </si>
  <si>
    <t>UB</t>
  </si>
  <si>
    <t>UC</t>
  </si>
  <si>
    <t>V^(-1/2)</t>
  </si>
  <si>
    <t>D/2</t>
  </si>
  <si>
    <t>slope</t>
  </si>
  <si>
    <t>h</t>
  </si>
  <si>
    <t>m</t>
  </si>
  <si>
    <t>e</t>
  </si>
  <si>
    <t>d exp (first)</t>
  </si>
  <si>
    <t>d exp (second)</t>
  </si>
  <si>
    <t>d exp (third)</t>
  </si>
  <si>
    <t>d exp (fourth)</t>
  </si>
  <si>
    <t>Second ring</t>
  </si>
  <si>
    <t>Third ring</t>
  </si>
  <si>
    <t>Fourth ring</t>
  </si>
  <si>
    <t>V</t>
  </si>
  <si>
    <t>VErr</t>
  </si>
  <si>
    <t>dErr</t>
  </si>
  <si>
    <t>SI</t>
  </si>
  <si>
    <t>R (m)</t>
  </si>
  <si>
    <t>h (kg m^2/ s)</t>
  </si>
  <si>
    <t>m (kg)</t>
  </si>
  <si>
    <t>e (C)</t>
  </si>
  <si>
    <t>d (m)</t>
  </si>
  <si>
    <t>Results</t>
  </si>
  <si>
    <t>UB (kV)</t>
  </si>
  <si>
    <t>Promedio (cm)</t>
  </si>
  <si>
    <t>UA (cm)</t>
  </si>
  <si>
    <t>UB (cm)</t>
  </si>
  <si>
    <t>UC (cm)</t>
  </si>
  <si>
    <t>Bragg</t>
  </si>
  <si>
    <t>De Broglie</t>
  </si>
  <si>
    <t>Rel error</t>
  </si>
  <si>
    <t>Amstrongs</t>
  </si>
  <si>
    <t xml:space="preserve">V (V) </t>
  </si>
  <si>
    <t>UB (V)</t>
  </si>
  <si>
    <t>D (m)</t>
  </si>
  <si>
    <t>UC (m)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</si>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</sst>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0000"/>
    <numFmt numFmtId="167" formatCode="#,##0.0000"/>
    <numFmt numFmtId="168" formatCode="#,##0.00000"/>
    <numFmt numFmtId="169" formatCode="0.000000"/>
  </numFmts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Sans-serif"/>
    </font>
    <font>
      <sz val="10"/>
      <color rgb="FF202122"/>
      <name val="Sans-serif"/>
    </font>
    <font>
      <sz val="11"/>
      <color rgb="FF000000"/>
      <name val="Sans-serif"/>
    </font>
    <font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3C78D8"/>
        <bgColor rgb="FF3C78D8"/>
      </patternFill>
    </fill>
    <fill>
      <patternFill patternType="solid">
        <fgColor rgb="FF674EA7"/>
        <bgColor rgb="FF674EA7"/>
      </patternFill>
    </fill>
    <fill>
      <patternFill patternType="solid">
        <fgColor rgb="FFC9DAF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11" fontId="2" fillId="4" borderId="0" xfId="0" applyNumberFormat="1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11" fontId="2" fillId="10" borderId="0" xfId="0" applyNumberFormat="1" applyFont="1" applyFill="1"/>
    <xf numFmtId="4" fontId="2" fillId="0" borderId="0" xfId="0" applyNumberFormat="1" applyFont="1"/>
    <xf numFmtId="0" fontId="2" fillId="0" borderId="0" xfId="0" applyFont="1"/>
    <xf numFmtId="164" fontId="2" fillId="7" borderId="0" xfId="0" applyNumberFormat="1" applyFont="1" applyFill="1"/>
    <xf numFmtId="164" fontId="2" fillId="0" borderId="0" xfId="0" applyNumberFormat="1" applyFont="1"/>
    <xf numFmtId="0" fontId="1" fillId="11" borderId="0" xfId="0" applyFont="1" applyFill="1"/>
    <xf numFmtId="0" fontId="2" fillId="10" borderId="0" xfId="0" applyFont="1" applyFill="1"/>
    <xf numFmtId="11" fontId="3" fillId="10" borderId="0" xfId="0" applyNumberFormat="1" applyFont="1" applyFill="1" applyAlignment="1">
      <alignment horizontal="right"/>
    </xf>
    <xf numFmtId="11" fontId="4" fillId="10" borderId="0" xfId="0" applyNumberFormat="1" applyFont="1" applyFill="1"/>
    <xf numFmtId="11" fontId="5" fillId="10" borderId="0" xfId="0" applyNumberFormat="1" applyFont="1" applyFill="1" applyAlignment="1">
      <alignment horizontal="left"/>
    </xf>
    <xf numFmtId="0" fontId="2" fillId="12" borderId="0" xfId="0" applyFont="1" applyFill="1"/>
    <xf numFmtId="165" fontId="2" fillId="7" borderId="0" xfId="0" applyNumberFormat="1" applyFont="1" applyFill="1"/>
    <xf numFmtId="4" fontId="2" fillId="2" borderId="0" xfId="0" applyNumberFormat="1" applyFont="1" applyFill="1"/>
    <xf numFmtId="0" fontId="2" fillId="11" borderId="0" xfId="0" applyFont="1" applyFill="1"/>
    <xf numFmtId="0" fontId="2" fillId="13" borderId="0" xfId="0" applyFont="1" applyFill="1"/>
    <xf numFmtId="0" fontId="2" fillId="14" borderId="0" xfId="0" applyFont="1" applyFill="1"/>
    <xf numFmtId="1" fontId="2" fillId="7" borderId="0" xfId="0" applyNumberFormat="1" applyFont="1" applyFill="1"/>
    <xf numFmtId="166" fontId="2" fillId="7" borderId="0" xfId="0" applyNumberFormat="1" applyFont="1" applyFill="1"/>
    <xf numFmtId="167" fontId="2" fillId="4" borderId="0" xfId="0" applyNumberFormat="1" applyFont="1" applyFill="1"/>
    <xf numFmtId="168" fontId="2" fillId="4" borderId="0" xfId="0" applyNumberFormat="1" applyFont="1" applyFill="1"/>
    <xf numFmtId="169" fontId="2" fillId="7" borderId="0" xfId="0" applyNumberFormat="1" applyFont="1" applyFill="1"/>
    <xf numFmtId="0" fontId="6" fillId="0" borderId="0" xfId="0" applyFont="1"/>
    <xf numFmtId="0" fontId="6" fillId="15" borderId="1" xfId="0" applyFont="1" applyFill="1" applyBorder="1" applyAlignment="1">
      <alignment horizontal="right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D/2 frente a V^(-1/2)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'Hoja 1'!$I$19:$I$24</c:f>
              <c:numCache>
                <c:formatCode>General</c:formatCode>
                <c:ptCount val="6"/>
                <c:pt idx="0">
                  <c:v>1.4030338331657843E-2</c:v>
                </c:pt>
                <c:pt idx="1">
                  <c:v>1.4907119849998599E-2</c:v>
                </c:pt>
                <c:pt idx="2">
                  <c:v>1.5791661046371634E-2</c:v>
                </c:pt>
                <c:pt idx="3">
                  <c:v>1.6286558549611408E-2</c:v>
                </c:pt>
                <c:pt idx="4">
                  <c:v>1.6903085094570332E-2</c:v>
                </c:pt>
                <c:pt idx="5">
                  <c:v>1.7329174830334543E-2</c:v>
                </c:pt>
              </c:numCache>
            </c:numRef>
          </c:xVal>
          <c:yVal>
            <c:numRef>
              <c:f>'Hoja 1'!$J$19:$J$24</c:f>
              <c:numCache>
                <c:formatCode>General</c:formatCode>
                <c:ptCount val="6"/>
                <c:pt idx="0">
                  <c:v>1.0775E-2</c:v>
                </c:pt>
                <c:pt idx="1">
                  <c:v>1.1125000000000001E-2</c:v>
                </c:pt>
                <c:pt idx="2">
                  <c:v>1.21E-2</c:v>
                </c:pt>
                <c:pt idx="3">
                  <c:v>1.2549999999999999E-2</c:v>
                </c:pt>
                <c:pt idx="4">
                  <c:v>1.3100000000000001E-2</c:v>
                </c:pt>
                <c:pt idx="5">
                  <c:v>1.3650000000000001E-2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85-477A-8CEC-1EDB818D3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814647"/>
        <c:axId val="2113969779"/>
      </c:scatterChart>
      <c:valAx>
        <c:axId val="16818146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b="0">
                    <a:solidFill>
                      <a:srgbClr val="000000"/>
                    </a:solidFill>
                    <a:latin typeface="+mn-lt"/>
                  </a:rPr>
                  <a:t>V^(-1/2)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113969779"/>
        <c:crosses val="autoZero"/>
        <c:crossBetween val="midCat"/>
      </c:valAx>
      <c:valAx>
        <c:axId val="21139697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b="0">
                    <a:solidFill>
                      <a:srgbClr val="000000"/>
                    </a:solidFill>
                    <a:latin typeface="+mn-lt"/>
                  </a:rPr>
                  <a:t>D/2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68181464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D/2 frente a V^(-1/2)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91E6-4CE0-B4A4-E7981E95FD04}"/>
              </c:ext>
            </c:extLst>
          </c:dPt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'Hoja 1'!$I$5:$I$10</c:f>
              <c:numCache>
                <c:formatCode>General</c:formatCode>
                <c:ptCount val="6"/>
                <c:pt idx="0">
                  <c:v>1.4030338331657843E-2</c:v>
                </c:pt>
                <c:pt idx="1">
                  <c:v>1.4907119849998599E-2</c:v>
                </c:pt>
                <c:pt idx="2">
                  <c:v>1.5791661046371634E-2</c:v>
                </c:pt>
                <c:pt idx="3">
                  <c:v>1.6286558549611408E-2</c:v>
                </c:pt>
                <c:pt idx="4">
                  <c:v>1.6903085094570332E-2</c:v>
                </c:pt>
                <c:pt idx="5">
                  <c:v>1.7329174830334543E-2</c:v>
                </c:pt>
              </c:numCache>
            </c:numRef>
          </c:xVal>
          <c:yVal>
            <c:numRef>
              <c:f>'Hoja 1'!$J$5:$J$10</c:f>
              <c:numCache>
                <c:formatCode>General</c:formatCode>
                <c:ptCount val="6"/>
                <c:pt idx="0">
                  <c:v>7.4999999999999997E-3</c:v>
                </c:pt>
                <c:pt idx="1">
                  <c:v>8.0000000000000002E-3</c:v>
                </c:pt>
                <c:pt idx="2">
                  <c:v>8.3750000000000005E-3</c:v>
                </c:pt>
                <c:pt idx="3">
                  <c:v>8.8249999999999995E-3</c:v>
                </c:pt>
                <c:pt idx="4">
                  <c:v>9.2750000000000003E-3</c:v>
                </c:pt>
                <c:pt idx="5">
                  <c:v>9.5750000000000002E-3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E6-4CE0-B4A4-E7981E95F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425290"/>
        <c:axId val="1241921588"/>
      </c:scatterChart>
      <c:valAx>
        <c:axId val="5174252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b="0">
                    <a:solidFill>
                      <a:srgbClr val="000000"/>
                    </a:solidFill>
                    <a:latin typeface="+mn-lt"/>
                  </a:rPr>
                  <a:t>V^(-1/2)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241921588"/>
        <c:crosses val="autoZero"/>
        <c:crossBetween val="midCat"/>
      </c:valAx>
      <c:valAx>
        <c:axId val="1241921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b="0">
                    <a:solidFill>
                      <a:srgbClr val="000000"/>
                    </a:solidFill>
                    <a:latin typeface="+mn-lt"/>
                  </a:rPr>
                  <a:t>D/2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51742529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D/2 frente a V^(-1/2)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'Hoja 1'!$I$32:$I$37</c:f>
              <c:numCache>
                <c:formatCode>General</c:formatCode>
                <c:ptCount val="6"/>
                <c:pt idx="0">
                  <c:v>1.4030338331657843E-2</c:v>
                </c:pt>
                <c:pt idx="1">
                  <c:v>1.4907119849998599E-2</c:v>
                </c:pt>
                <c:pt idx="2">
                  <c:v>1.5791661046371634E-2</c:v>
                </c:pt>
                <c:pt idx="3">
                  <c:v>1.6286558549611408E-2</c:v>
                </c:pt>
                <c:pt idx="4">
                  <c:v>1.6903085094570332E-2</c:v>
                </c:pt>
                <c:pt idx="5">
                  <c:v>1.7329174830334543E-2</c:v>
                </c:pt>
              </c:numCache>
            </c:numRef>
          </c:xVal>
          <c:yVal>
            <c:numRef>
              <c:f>'Hoja 1'!$J$32:$J$37</c:f>
              <c:numCache>
                <c:formatCode>General</c:formatCode>
                <c:ptCount val="6"/>
                <c:pt idx="0">
                  <c:v>1.4850000000000002E-2</c:v>
                </c:pt>
                <c:pt idx="1">
                  <c:v>1.6150000000000001E-2</c:v>
                </c:pt>
                <c:pt idx="2">
                  <c:v>1.6975000000000001E-2</c:v>
                </c:pt>
                <c:pt idx="3">
                  <c:v>1.7500000000000002E-2</c:v>
                </c:pt>
                <c:pt idx="4">
                  <c:v>1.8225000000000002E-2</c:v>
                </c:pt>
                <c:pt idx="5">
                  <c:v>1.9650000000000001E-2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01-4484-B579-CB14FFA9E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983823"/>
        <c:axId val="25367713"/>
      </c:scatterChart>
      <c:valAx>
        <c:axId val="13459838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b="0">
                    <a:solidFill>
                      <a:srgbClr val="000000"/>
                    </a:solidFill>
                    <a:latin typeface="+mn-lt"/>
                  </a:rPr>
                  <a:t>V^(-1/2)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5367713"/>
        <c:crosses val="autoZero"/>
        <c:crossBetween val="midCat"/>
      </c:valAx>
      <c:valAx>
        <c:axId val="25367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b="0">
                    <a:solidFill>
                      <a:srgbClr val="000000"/>
                    </a:solidFill>
                    <a:latin typeface="+mn-lt"/>
                  </a:rPr>
                  <a:t>D/2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34598382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D/2 frente a V^(-1/2)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'Hoja 1'!$I$46:$I$51</c:f>
              <c:numCache>
                <c:formatCode>General</c:formatCode>
                <c:ptCount val="6"/>
                <c:pt idx="0">
                  <c:v>1.4030338331657843E-2</c:v>
                </c:pt>
                <c:pt idx="1">
                  <c:v>1.4907119849998599E-2</c:v>
                </c:pt>
                <c:pt idx="2">
                  <c:v>1.5791661046371634E-2</c:v>
                </c:pt>
                <c:pt idx="3">
                  <c:v>1.6286558549611408E-2</c:v>
                </c:pt>
                <c:pt idx="4">
                  <c:v>1.6903085094570332E-2</c:v>
                </c:pt>
                <c:pt idx="5">
                  <c:v>1.7329174830334543E-2</c:v>
                </c:pt>
              </c:numCache>
            </c:numRef>
          </c:xVal>
          <c:yVal>
            <c:numRef>
              <c:f>'Hoja 1'!$J$46:$J$51</c:f>
              <c:numCache>
                <c:formatCode>General</c:formatCode>
                <c:ptCount val="6"/>
                <c:pt idx="0">
                  <c:v>1.8775E-2</c:v>
                </c:pt>
                <c:pt idx="1">
                  <c:v>2.0350000000000004E-2</c:v>
                </c:pt>
                <c:pt idx="2">
                  <c:v>2.215E-2</c:v>
                </c:pt>
                <c:pt idx="3">
                  <c:v>2.3224999999999999E-2</c:v>
                </c:pt>
                <c:pt idx="4">
                  <c:v>2.435E-2</c:v>
                </c:pt>
                <c:pt idx="5">
                  <c:v>2.5274999999999999E-2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97-4DC1-BB4B-D3F74B8AB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492460"/>
        <c:axId val="305089537"/>
      </c:scatterChart>
      <c:valAx>
        <c:axId val="11544924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b="0">
                    <a:solidFill>
                      <a:srgbClr val="000000"/>
                    </a:solidFill>
                    <a:latin typeface="+mn-lt"/>
                  </a:rPr>
                  <a:t>V^(-1/2)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05089537"/>
        <c:crosses val="autoZero"/>
        <c:crossBetween val="midCat"/>
      </c:valAx>
      <c:valAx>
        <c:axId val="305089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b="0">
                    <a:solidFill>
                      <a:srgbClr val="000000"/>
                    </a:solidFill>
                    <a:latin typeface="+mn-lt"/>
                  </a:rPr>
                  <a:t>D/2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15449246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1066800</xdr:colOff>
      <xdr:row>14</xdr:row>
      <xdr:rowOff>95250</xdr:rowOff>
    </xdr:from>
    <xdr:ext cx="4229100" cy="26193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314325</xdr:colOff>
      <xdr:row>13</xdr:row>
      <xdr:rowOff>152400</xdr:rowOff>
    </xdr:from>
    <xdr:ext cx="4476750" cy="2762250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1066800</xdr:colOff>
      <xdr:row>28</xdr:row>
      <xdr:rowOff>47625</xdr:rowOff>
    </xdr:from>
    <xdr:ext cx="4524375" cy="2762250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1066800</xdr:colOff>
      <xdr:row>43</xdr:row>
      <xdr:rowOff>95250</xdr:rowOff>
    </xdr:from>
    <xdr:ext cx="4676775" cy="2895600"/>
    <xdr:graphicFrame macro="">
      <xdr:nvGraphicFramePr>
        <xdr:cNvPr id="5" name="Chart 4" title="Gráfic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Q63"/>
  <sheetViews>
    <sheetView workbookViewId="0"/>
  </sheetViews>
  <sheetFormatPr baseColWidth="10" defaultColWidth="12.6640625" defaultRowHeight="15.75" customHeight="1"/>
  <cols>
    <col min="1" max="1" width="28.21875" customWidth="1"/>
    <col min="2" max="2" width="19.44140625" customWidth="1"/>
    <col min="4" max="4" width="25.6640625" customWidth="1"/>
    <col min="5" max="5" width="25.44140625" customWidth="1"/>
    <col min="7" max="7" width="20.44140625" customWidth="1"/>
    <col min="8" max="8" width="23.21875" customWidth="1"/>
    <col min="9" max="9" width="22.21875" customWidth="1"/>
    <col min="10" max="10" width="25.109375" customWidth="1"/>
  </cols>
  <sheetData>
    <row r="2" spans="1:17">
      <c r="A2" s="1" t="s">
        <v>0</v>
      </c>
      <c r="I2" s="1" t="s">
        <v>0</v>
      </c>
      <c r="O2" s="2" t="s">
        <v>1</v>
      </c>
    </row>
    <row r="3" spans="1:17">
      <c r="O3" s="2" t="s">
        <v>2</v>
      </c>
      <c r="P3" s="3">
        <f>65*10^(-3)</f>
        <v>6.5000000000000002E-2</v>
      </c>
    </row>
    <row r="4" spans="1:17">
      <c r="A4" s="4" t="s">
        <v>3</v>
      </c>
      <c r="B4" s="4" t="s">
        <v>4</v>
      </c>
      <c r="C4" s="4"/>
      <c r="D4" s="4"/>
      <c r="E4" s="4" t="s">
        <v>5</v>
      </c>
      <c r="F4" s="4" t="s">
        <v>6</v>
      </c>
      <c r="G4" s="4" t="s">
        <v>7</v>
      </c>
      <c r="I4" s="4" t="s">
        <v>8</v>
      </c>
      <c r="J4" s="4" t="s">
        <v>9</v>
      </c>
      <c r="K4" s="5" t="s">
        <v>10</v>
      </c>
      <c r="O4" s="2" t="s">
        <v>11</v>
      </c>
      <c r="P4" s="6">
        <f>6.626*10^(-34)</f>
        <v>6.6260000000000015E-34</v>
      </c>
    </row>
    <row r="5" spans="1:17">
      <c r="A5" s="7">
        <v>5.08</v>
      </c>
      <c r="B5" s="7">
        <v>1.5</v>
      </c>
      <c r="C5" s="7">
        <v>1.4</v>
      </c>
      <c r="D5" s="7">
        <v>1.355</v>
      </c>
      <c r="E5" s="7">
        <f t="shared" ref="E5:E8" si="0">STDEV(B5:D5)/3</f>
        <v>2.4739382309124803E-2</v>
      </c>
      <c r="F5" s="7">
        <f t="shared" ref="F5:F10" si="1">0.005/SQRT(12)</f>
        <v>1.4433756729740645E-3</v>
      </c>
      <c r="G5" s="7">
        <f t="shared" ref="G5:G10" si="2">SQRT(SUMSQ(E5,F5))</f>
        <v>2.4781452144101049E-2</v>
      </c>
      <c r="I5" s="7">
        <f t="shared" ref="I5:I10" si="3">1/SQRT(A5*1000)</f>
        <v>1.4030338331657843E-2</v>
      </c>
      <c r="J5" s="7">
        <f t="shared" ref="J5:J10" si="4">B5*10^(-2)/2</f>
        <v>7.4999999999999997E-3</v>
      </c>
      <c r="K5" s="8">
        <v>0.629</v>
      </c>
      <c r="O5" s="2" t="s">
        <v>12</v>
      </c>
      <c r="P5" s="6">
        <f>9.109*10^(-31)</f>
        <v>9.109000000000001E-31</v>
      </c>
    </row>
    <row r="6" spans="1:17">
      <c r="A6" s="7">
        <v>4.5</v>
      </c>
      <c r="B6" s="7">
        <v>1.6</v>
      </c>
      <c r="C6" s="7">
        <v>1.62</v>
      </c>
      <c r="D6" s="7">
        <v>1.64</v>
      </c>
      <c r="E6" s="7">
        <f t="shared" si="0"/>
        <v>6.6666666666666359E-3</v>
      </c>
      <c r="F6" s="7">
        <f t="shared" si="1"/>
        <v>1.4433756729740645E-3</v>
      </c>
      <c r="G6" s="7">
        <f t="shared" si="2"/>
        <v>6.8211273098936782E-3</v>
      </c>
      <c r="I6" s="7">
        <f t="shared" si="3"/>
        <v>1.4907119849998599E-2</v>
      </c>
      <c r="J6" s="7">
        <f t="shared" si="4"/>
        <v>8.0000000000000002E-3</v>
      </c>
      <c r="O6" s="2" t="s">
        <v>13</v>
      </c>
      <c r="P6" s="6">
        <f>1.602*10^(-19)</f>
        <v>1.602E-19</v>
      </c>
    </row>
    <row r="7" spans="1:17">
      <c r="A7" s="7">
        <v>4.01</v>
      </c>
      <c r="B7" s="7">
        <v>1.675</v>
      </c>
      <c r="C7" s="7">
        <v>1.68</v>
      </c>
      <c r="D7" s="7">
        <v>1.77</v>
      </c>
      <c r="E7" s="7">
        <f t="shared" si="0"/>
        <v>1.7821127702606049E-2</v>
      </c>
      <c r="F7" s="7">
        <f t="shared" si="1"/>
        <v>1.4433756729740645E-3</v>
      </c>
      <c r="G7" s="7">
        <f t="shared" si="2"/>
        <v>1.7879483379726776E-2</v>
      </c>
      <c r="I7" s="7">
        <f t="shared" si="3"/>
        <v>1.5791661046371634E-2</v>
      </c>
      <c r="J7" s="7">
        <f t="shared" si="4"/>
        <v>8.3750000000000005E-3</v>
      </c>
      <c r="O7" s="9" t="s">
        <v>14</v>
      </c>
      <c r="P7" s="10">
        <f>2*$P$3*$P$4/(K5*SQRT(2*$P$5*$P$6))</f>
        <v>2.5349099358368089E-10</v>
      </c>
      <c r="Q7" s="11">
        <f t="shared" ref="Q7:Q10" si="5">P7*10^12</f>
        <v>253.4909935836809</v>
      </c>
    </row>
    <row r="8" spans="1:17">
      <c r="A8" s="7">
        <v>3.77</v>
      </c>
      <c r="B8" s="7">
        <v>1.7649999999999999</v>
      </c>
      <c r="C8" s="7">
        <v>1.78</v>
      </c>
      <c r="D8" s="7"/>
      <c r="E8" s="7">
        <f t="shared" si="0"/>
        <v>3.5355339059327667E-3</v>
      </c>
      <c r="F8" s="7">
        <f t="shared" si="1"/>
        <v>1.4433756729740645E-3</v>
      </c>
      <c r="G8" s="7">
        <f t="shared" si="2"/>
        <v>3.8188130791298935E-3</v>
      </c>
      <c r="I8" s="7">
        <f t="shared" si="3"/>
        <v>1.6286558549611408E-2</v>
      </c>
      <c r="J8" s="7">
        <f t="shared" si="4"/>
        <v>8.8249999999999995E-3</v>
      </c>
      <c r="O8" s="9" t="s">
        <v>15</v>
      </c>
      <c r="P8" s="10">
        <f>2*$P$3*$P$4/(K19*SQRT(2*$P$5*$P$6))</f>
        <v>1.7875093605844763E-10</v>
      </c>
      <c r="Q8" s="11">
        <f t="shared" si="5"/>
        <v>178.75093605844762</v>
      </c>
    </row>
    <row r="9" spans="1:17">
      <c r="A9" s="7">
        <v>3.5</v>
      </c>
      <c r="B9" s="7">
        <v>1.855</v>
      </c>
      <c r="C9" s="7"/>
      <c r="D9" s="7"/>
      <c r="E9" s="7">
        <v>0</v>
      </c>
      <c r="F9" s="7">
        <f t="shared" si="1"/>
        <v>1.4433756729740645E-3</v>
      </c>
      <c r="G9" s="7">
        <f t="shared" si="2"/>
        <v>1.4433756729740645E-3</v>
      </c>
      <c r="I9" s="7">
        <f t="shared" si="3"/>
        <v>1.6903085094570332E-2</v>
      </c>
      <c r="J9" s="7">
        <f t="shared" si="4"/>
        <v>9.2750000000000003E-3</v>
      </c>
      <c r="O9" s="9" t="s">
        <v>16</v>
      </c>
      <c r="P9" s="10">
        <f>2*$P$3*$P$4/(K32*SQRT(2*$P$5*$P$6))</f>
        <v>1.2079229921525397E-10</v>
      </c>
      <c r="Q9" s="11">
        <f t="shared" si="5"/>
        <v>120.79229921525398</v>
      </c>
    </row>
    <row r="10" spans="1:17">
      <c r="A10" s="7">
        <v>3.33</v>
      </c>
      <c r="B10" s="7">
        <v>1.915</v>
      </c>
      <c r="C10" s="7"/>
      <c r="D10" s="7"/>
      <c r="E10" s="7">
        <v>0</v>
      </c>
      <c r="F10" s="7">
        <f t="shared" si="1"/>
        <v>1.4433756729740645E-3</v>
      </c>
      <c r="G10" s="7">
        <f t="shared" si="2"/>
        <v>1.4433756729740645E-3</v>
      </c>
      <c r="I10" s="7">
        <f t="shared" si="3"/>
        <v>1.7329174830334543E-2</v>
      </c>
      <c r="J10" s="7">
        <f t="shared" si="4"/>
        <v>9.5750000000000002E-3</v>
      </c>
      <c r="O10" s="9" t="s">
        <v>17</v>
      </c>
      <c r="P10" s="10">
        <f>2*$P$3*$P$4/(K46*SQRT(2*$P$5*$P$6))</f>
        <v>8.0528199476835999E-11</v>
      </c>
      <c r="Q10" s="11">
        <f t="shared" si="5"/>
        <v>80.528199476835994</v>
      </c>
    </row>
    <row r="16" spans="1:17">
      <c r="A16" s="1" t="s">
        <v>18</v>
      </c>
      <c r="I16" s="1" t="s">
        <v>18</v>
      </c>
    </row>
    <row r="18" spans="1:11">
      <c r="A18" s="4" t="s">
        <v>3</v>
      </c>
      <c r="B18" s="4" t="s">
        <v>4</v>
      </c>
      <c r="C18" s="4"/>
      <c r="D18" s="4"/>
      <c r="I18" s="4" t="s">
        <v>8</v>
      </c>
      <c r="J18" s="4" t="s">
        <v>9</v>
      </c>
      <c r="K18" s="5" t="s">
        <v>10</v>
      </c>
    </row>
    <row r="19" spans="1:11">
      <c r="A19" s="7">
        <f t="shared" ref="A19:A24" si="6">A5</f>
        <v>5.08</v>
      </c>
      <c r="B19" s="7">
        <v>2.1549999999999998</v>
      </c>
      <c r="C19" s="7">
        <v>2.13</v>
      </c>
      <c r="D19" s="7">
        <v>2.11</v>
      </c>
      <c r="I19" s="7">
        <f t="shared" ref="I19:I24" si="7">1/SQRT(A19*1000)</f>
        <v>1.4030338331657843E-2</v>
      </c>
      <c r="J19" s="7">
        <f t="shared" ref="J19:J24" si="8">B19*10^(-2)/2</f>
        <v>1.0775E-2</v>
      </c>
      <c r="K19" s="8">
        <f>0.892</f>
        <v>0.89200000000000002</v>
      </c>
    </row>
    <row r="20" spans="1:11">
      <c r="A20" s="7">
        <f t="shared" si="6"/>
        <v>4.5</v>
      </c>
      <c r="B20" s="7">
        <v>2.2250000000000001</v>
      </c>
      <c r="C20" s="7">
        <v>2.355</v>
      </c>
      <c r="D20" s="7">
        <v>2.2200000000000002</v>
      </c>
      <c r="I20" s="7">
        <f t="shared" si="7"/>
        <v>1.4907119849998599E-2</v>
      </c>
      <c r="J20" s="7">
        <f t="shared" si="8"/>
        <v>1.1125000000000001E-2</v>
      </c>
    </row>
    <row r="21" spans="1:11">
      <c r="A21" s="7">
        <f t="shared" si="6"/>
        <v>4.01</v>
      </c>
      <c r="B21" s="7">
        <v>2.42</v>
      </c>
      <c r="C21" s="7">
        <v>2.3849999999999998</v>
      </c>
      <c r="D21" s="7">
        <v>2.375</v>
      </c>
      <c r="I21" s="7">
        <f t="shared" si="7"/>
        <v>1.5791661046371634E-2</v>
      </c>
      <c r="J21" s="7">
        <f t="shared" si="8"/>
        <v>1.21E-2</v>
      </c>
    </row>
    <row r="22" spans="1:11">
      <c r="A22" s="7">
        <f t="shared" si="6"/>
        <v>3.77</v>
      </c>
      <c r="B22" s="7">
        <v>2.5099999999999998</v>
      </c>
      <c r="C22" s="7"/>
      <c r="D22" s="7"/>
      <c r="I22" s="7">
        <f t="shared" si="7"/>
        <v>1.6286558549611408E-2</v>
      </c>
      <c r="J22" s="7">
        <f t="shared" si="8"/>
        <v>1.2549999999999999E-2</v>
      </c>
    </row>
    <row r="23" spans="1:11">
      <c r="A23" s="7">
        <f t="shared" si="6"/>
        <v>3.5</v>
      </c>
      <c r="B23" s="7">
        <v>2.62</v>
      </c>
      <c r="C23" s="7"/>
      <c r="D23" s="7"/>
      <c r="I23" s="7">
        <f t="shared" si="7"/>
        <v>1.6903085094570332E-2</v>
      </c>
      <c r="J23" s="7">
        <f t="shared" si="8"/>
        <v>1.3100000000000001E-2</v>
      </c>
    </row>
    <row r="24" spans="1:11">
      <c r="A24" s="7">
        <f t="shared" si="6"/>
        <v>3.33</v>
      </c>
      <c r="B24" s="7">
        <v>2.73</v>
      </c>
      <c r="C24" s="7"/>
      <c r="D24" s="7"/>
      <c r="I24" s="7">
        <f t="shared" si="7"/>
        <v>1.7329174830334543E-2</v>
      </c>
      <c r="J24" s="7">
        <f t="shared" si="8"/>
        <v>1.3650000000000001E-2</v>
      </c>
    </row>
    <row r="29" spans="1:11">
      <c r="A29" s="1" t="s">
        <v>19</v>
      </c>
      <c r="I29" s="1" t="s">
        <v>19</v>
      </c>
    </row>
    <row r="31" spans="1:11">
      <c r="A31" s="4" t="s">
        <v>3</v>
      </c>
      <c r="B31" s="4" t="s">
        <v>4</v>
      </c>
      <c r="C31" s="4"/>
      <c r="D31" s="4"/>
      <c r="I31" s="4" t="s">
        <v>8</v>
      </c>
      <c r="J31" s="4" t="s">
        <v>9</v>
      </c>
      <c r="K31" s="5" t="s">
        <v>10</v>
      </c>
    </row>
    <row r="32" spans="1:11">
      <c r="A32" s="7">
        <f t="shared" ref="A32:A37" si="9">A5</f>
        <v>5.08</v>
      </c>
      <c r="B32" s="7">
        <v>2.97</v>
      </c>
      <c r="C32" s="7">
        <v>3.1</v>
      </c>
      <c r="D32" s="7">
        <v>3.06</v>
      </c>
      <c r="I32" s="7">
        <f t="shared" ref="I32:I37" si="10">1/SQRT(A32*1000)</f>
        <v>1.4030338331657843E-2</v>
      </c>
      <c r="J32" s="7">
        <f t="shared" ref="J32:J37" si="11">B32*10^(-2)/2</f>
        <v>1.4850000000000002E-2</v>
      </c>
      <c r="K32" s="8">
        <v>1.32</v>
      </c>
    </row>
    <row r="33" spans="1:11">
      <c r="A33" s="7">
        <f t="shared" si="9"/>
        <v>4.5</v>
      </c>
      <c r="B33" s="7">
        <v>3.23</v>
      </c>
      <c r="C33" s="7">
        <v>3.27</v>
      </c>
      <c r="D33" s="7">
        <v>3.2650000000000001</v>
      </c>
      <c r="I33" s="7">
        <f t="shared" si="10"/>
        <v>1.4907119849998599E-2</v>
      </c>
      <c r="J33" s="7">
        <f t="shared" si="11"/>
        <v>1.6150000000000001E-2</v>
      </c>
    </row>
    <row r="34" spans="1:11">
      <c r="A34" s="7">
        <f t="shared" si="9"/>
        <v>4.01</v>
      </c>
      <c r="B34" s="7">
        <v>3.395</v>
      </c>
      <c r="C34" s="7">
        <v>3.5649999999999999</v>
      </c>
      <c r="D34" s="7">
        <v>3.5350000000000001</v>
      </c>
      <c r="I34" s="7">
        <f t="shared" si="10"/>
        <v>1.5791661046371634E-2</v>
      </c>
      <c r="J34" s="7">
        <f t="shared" si="11"/>
        <v>1.6975000000000001E-2</v>
      </c>
    </row>
    <row r="35" spans="1:11">
      <c r="A35" s="7">
        <f t="shared" si="9"/>
        <v>3.77</v>
      </c>
      <c r="B35" s="7">
        <v>3.5</v>
      </c>
      <c r="C35" s="7"/>
      <c r="D35" s="7"/>
      <c r="I35" s="7">
        <f t="shared" si="10"/>
        <v>1.6286558549611408E-2</v>
      </c>
      <c r="J35" s="7">
        <f t="shared" si="11"/>
        <v>1.7500000000000002E-2</v>
      </c>
    </row>
    <row r="36" spans="1:11">
      <c r="A36" s="7">
        <f t="shared" si="9"/>
        <v>3.5</v>
      </c>
      <c r="B36" s="7">
        <v>3.645</v>
      </c>
      <c r="C36" s="7"/>
      <c r="D36" s="7"/>
      <c r="I36" s="7">
        <f t="shared" si="10"/>
        <v>1.6903085094570332E-2</v>
      </c>
      <c r="J36" s="7">
        <f t="shared" si="11"/>
        <v>1.8225000000000002E-2</v>
      </c>
    </row>
    <row r="37" spans="1:11">
      <c r="A37" s="7">
        <f t="shared" si="9"/>
        <v>3.33</v>
      </c>
      <c r="B37" s="7">
        <v>3.93</v>
      </c>
      <c r="C37" s="7"/>
      <c r="D37" s="7"/>
      <c r="I37" s="7">
        <f t="shared" si="10"/>
        <v>1.7329174830334543E-2</v>
      </c>
      <c r="J37" s="7">
        <f t="shared" si="11"/>
        <v>1.9650000000000001E-2</v>
      </c>
    </row>
    <row r="43" spans="1:11">
      <c r="A43" s="1" t="s">
        <v>20</v>
      </c>
      <c r="I43" s="1" t="s">
        <v>20</v>
      </c>
    </row>
    <row r="45" spans="1:11">
      <c r="A45" s="4" t="s">
        <v>3</v>
      </c>
      <c r="B45" s="4" t="s">
        <v>4</v>
      </c>
      <c r="C45" s="4"/>
      <c r="D45" s="4"/>
      <c r="I45" s="4" t="s">
        <v>8</v>
      </c>
      <c r="J45" s="4" t="s">
        <v>9</v>
      </c>
      <c r="K45" s="5" t="s">
        <v>10</v>
      </c>
    </row>
    <row r="46" spans="1:11">
      <c r="A46" s="7">
        <f t="shared" ref="A46:A51" si="12">A19</f>
        <v>5.08</v>
      </c>
      <c r="B46" s="7">
        <v>3.7549999999999999</v>
      </c>
      <c r="C46" s="7">
        <v>3.95</v>
      </c>
      <c r="D46" s="7">
        <v>3.875</v>
      </c>
      <c r="I46" s="7">
        <f t="shared" ref="I46:I51" si="13">1/SQRT(A46*1000)</f>
        <v>1.4030338331657843E-2</v>
      </c>
      <c r="J46" s="7">
        <f t="shared" ref="J46:J51" si="14">B46*10^(-2)/2</f>
        <v>1.8775E-2</v>
      </c>
      <c r="K46" s="8">
        <v>1.98</v>
      </c>
    </row>
    <row r="47" spans="1:11">
      <c r="A47" s="7">
        <f t="shared" si="12"/>
        <v>4.5</v>
      </c>
      <c r="B47" s="7">
        <v>4.07</v>
      </c>
      <c r="C47" s="7">
        <v>4</v>
      </c>
      <c r="D47" s="7">
        <v>4.0250000000000004</v>
      </c>
      <c r="I47" s="7">
        <f t="shared" si="13"/>
        <v>1.4907119849998599E-2</v>
      </c>
      <c r="J47" s="7">
        <f t="shared" si="14"/>
        <v>2.0350000000000004E-2</v>
      </c>
    </row>
    <row r="48" spans="1:11">
      <c r="A48" s="7">
        <f t="shared" si="12"/>
        <v>4.01</v>
      </c>
      <c r="B48" s="7">
        <v>4.43</v>
      </c>
      <c r="C48" s="7">
        <v>4.34</v>
      </c>
      <c r="D48" s="7">
        <v>4.54</v>
      </c>
      <c r="I48" s="7">
        <f t="shared" si="13"/>
        <v>1.5791661046371634E-2</v>
      </c>
      <c r="J48" s="7">
        <f t="shared" si="14"/>
        <v>2.215E-2</v>
      </c>
    </row>
    <row r="49" spans="1:10">
      <c r="A49" s="7">
        <f t="shared" si="12"/>
        <v>3.77</v>
      </c>
      <c r="B49" s="7">
        <v>4.6449999999999996</v>
      </c>
      <c r="C49" s="7"/>
      <c r="D49" s="7"/>
      <c r="I49" s="7">
        <f t="shared" si="13"/>
        <v>1.6286558549611408E-2</v>
      </c>
      <c r="J49" s="7">
        <f t="shared" si="14"/>
        <v>2.3224999999999999E-2</v>
      </c>
    </row>
    <row r="50" spans="1:10">
      <c r="A50" s="7">
        <f t="shared" si="12"/>
        <v>3.5</v>
      </c>
      <c r="B50" s="7">
        <v>4.87</v>
      </c>
      <c r="C50" s="7"/>
      <c r="D50" s="7"/>
      <c r="I50" s="7">
        <f t="shared" si="13"/>
        <v>1.6903085094570332E-2</v>
      </c>
      <c r="J50" s="7">
        <f t="shared" si="14"/>
        <v>2.435E-2</v>
      </c>
    </row>
    <row r="51" spans="1:10">
      <c r="A51" s="7">
        <f t="shared" si="12"/>
        <v>3.33</v>
      </c>
      <c r="B51" s="7">
        <v>5.0549999999999997</v>
      </c>
      <c r="C51" s="7"/>
      <c r="D51" s="7"/>
      <c r="I51" s="7">
        <f t="shared" si="13"/>
        <v>1.7329174830334543E-2</v>
      </c>
      <c r="J51" s="7">
        <f t="shared" si="14"/>
        <v>2.5274999999999999E-2</v>
      </c>
    </row>
    <row r="57" spans="1:10">
      <c r="E57" s="12" t="s">
        <v>21</v>
      </c>
      <c r="F57" s="12" t="s">
        <v>22</v>
      </c>
      <c r="G57" s="12" t="s">
        <v>23</v>
      </c>
      <c r="H57" s="12" t="s">
        <v>23</v>
      </c>
    </row>
    <row r="58" spans="1:10">
      <c r="E58" s="13">
        <v>5.08</v>
      </c>
      <c r="F58" s="14">
        <f t="shared" ref="F58:F63" si="15">0.01/SQRT(12)</f>
        <v>2.886751345948129E-3</v>
      </c>
      <c r="G58" s="12">
        <f t="shared" ref="G58:G63" si="16">AVERAGE(B19:D19)</f>
        <v>2.1316666666666664</v>
      </c>
      <c r="H58" s="12">
        <f t="shared" ref="H58:H60" si="17">(0.005/SQRT(12))/SQRT(3)</f>
        <v>8.3333333333333339E-4</v>
      </c>
    </row>
    <row r="59" spans="1:10">
      <c r="E59" s="13">
        <v>4.5</v>
      </c>
      <c r="F59" s="14">
        <f t="shared" si="15"/>
        <v>2.886751345948129E-3</v>
      </c>
      <c r="G59" s="12">
        <f t="shared" si="16"/>
        <v>2.2666666666666671</v>
      </c>
      <c r="H59" s="12">
        <f t="shared" si="17"/>
        <v>8.3333333333333339E-4</v>
      </c>
    </row>
    <row r="60" spans="1:10">
      <c r="E60" s="13">
        <v>4.01</v>
      </c>
      <c r="F60" s="14">
        <f t="shared" si="15"/>
        <v>2.886751345948129E-3</v>
      </c>
      <c r="G60" s="12">
        <f t="shared" si="16"/>
        <v>2.3933333333333331</v>
      </c>
      <c r="H60" s="12">
        <f t="shared" si="17"/>
        <v>8.3333333333333339E-4</v>
      </c>
    </row>
    <row r="61" spans="1:10">
      <c r="E61" s="13">
        <v>3.77</v>
      </c>
      <c r="F61" s="14">
        <f t="shared" si="15"/>
        <v>2.886751345948129E-3</v>
      </c>
      <c r="G61" s="12">
        <f t="shared" si="16"/>
        <v>2.5099999999999998</v>
      </c>
      <c r="H61" s="12">
        <f t="shared" ref="H61:H63" si="18">(0.005/SQRT(12))</f>
        <v>1.4433756729740645E-3</v>
      </c>
    </row>
    <row r="62" spans="1:10">
      <c r="E62" s="13">
        <v>3.5</v>
      </c>
      <c r="F62" s="14">
        <f t="shared" si="15"/>
        <v>2.886751345948129E-3</v>
      </c>
      <c r="G62" s="12">
        <f t="shared" si="16"/>
        <v>2.62</v>
      </c>
      <c r="H62" s="12">
        <f t="shared" si="18"/>
        <v>1.4433756729740645E-3</v>
      </c>
    </row>
    <row r="63" spans="1:10">
      <c r="E63" s="13">
        <v>3.33</v>
      </c>
      <c r="F63" s="14">
        <f t="shared" si="15"/>
        <v>2.886751345948129E-3</v>
      </c>
      <c r="G63" s="12">
        <f t="shared" si="16"/>
        <v>2.73</v>
      </c>
      <c r="H63" s="12">
        <f t="shared" si="18"/>
        <v>1.4433756729740645E-3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"/>
  <sheetViews>
    <sheetView tabSelected="1" workbookViewId="0">
      <selection activeCell="D7" sqref="D7"/>
    </sheetView>
  </sheetViews>
  <sheetFormatPr baseColWidth="10" defaultColWidth="12.6640625" defaultRowHeight="15.75" customHeight="1"/>
  <sheetData>
    <row r="1" spans="1:6" ht="13.8" thickBot="1">
      <c r="A1" s="4" t="s">
        <v>21</v>
      </c>
      <c r="B1" s="4" t="s">
        <v>22</v>
      </c>
      <c r="C1" s="4" t="s">
        <v>44</v>
      </c>
      <c r="D1" s="4" t="s">
        <v>23</v>
      </c>
    </row>
    <row r="2" spans="1:6" ht="13.8" thickBot="1">
      <c r="A2" s="13">
        <v>5.08</v>
      </c>
      <c r="B2" s="13">
        <v>2.886751345948129E-3</v>
      </c>
      <c r="C2" s="7">
        <v>2.1316666666666664</v>
      </c>
      <c r="D2" s="32">
        <v>7.6527649999999997E-3</v>
      </c>
    </row>
    <row r="3" spans="1:6" ht="13.8" thickBot="1">
      <c r="A3" s="13">
        <v>4.5</v>
      </c>
      <c r="B3" s="13">
        <v>2.886751345948129E-3</v>
      </c>
      <c r="C3" s="7">
        <v>2.2666666666666671</v>
      </c>
      <c r="D3" s="32">
        <v>2.5554046E-2</v>
      </c>
      <c r="F3">
        <v>8.3333333333333295E-4</v>
      </c>
    </row>
    <row r="4" spans="1:6" ht="13.8" thickBot="1">
      <c r="A4" s="13">
        <v>4.01</v>
      </c>
      <c r="B4" s="13">
        <v>2.886751345948129E-3</v>
      </c>
      <c r="C4" s="7">
        <v>2.3933333333333331</v>
      </c>
      <c r="D4" s="32">
        <v>8.0075200000000006E-3</v>
      </c>
      <c r="F4" s="31"/>
    </row>
    <row r="5" spans="1:6" ht="13.2">
      <c r="A5" s="13">
        <v>3.77</v>
      </c>
      <c r="B5" s="13">
        <v>2.886751345948129E-3</v>
      </c>
      <c r="C5" s="7">
        <v>2.5099999999999998</v>
      </c>
      <c r="D5" s="7">
        <v>1.4433756729740645E-3</v>
      </c>
    </row>
    <row r="6" spans="1:6" ht="13.2">
      <c r="A6" s="13">
        <v>3.5</v>
      </c>
      <c r="B6" s="13">
        <v>2.886751345948129E-3</v>
      </c>
      <c r="C6" s="7">
        <v>2.62</v>
      </c>
      <c r="D6" s="7">
        <v>1.4433756729740645E-3</v>
      </c>
    </row>
    <row r="7" spans="1:6" ht="13.2">
      <c r="A7" s="13">
        <v>3.33</v>
      </c>
      <c r="B7" s="13">
        <v>2.886751345948129E-3</v>
      </c>
      <c r="C7" s="7">
        <v>2.73</v>
      </c>
      <c r="D7" s="7">
        <v>1.4433756729740645E-3</v>
      </c>
    </row>
    <row r="8" spans="1:6" ht="15.75" customHeight="1">
      <c r="F8" s="33"/>
    </row>
    <row r="10" spans="1:6" ht="15.75" customHeight="1">
      <c r="F10" s="3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3:O23"/>
  <sheetViews>
    <sheetView workbookViewId="0"/>
  </sheetViews>
  <sheetFormatPr baseColWidth="10" defaultColWidth="12.6640625" defaultRowHeight="15.75" customHeight="1"/>
  <cols>
    <col min="7" max="7" width="15" customWidth="1"/>
  </cols>
  <sheetData>
    <row r="3" spans="1:15">
      <c r="A3" s="15"/>
    </row>
    <row r="4" spans="1:15"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9" t="s">
        <v>29</v>
      </c>
    </row>
    <row r="5" spans="1:15">
      <c r="C5" s="16">
        <v>6.5000000000000002E-2</v>
      </c>
      <c r="D5" s="17">
        <f>6.62607015*10^(-34)</f>
        <v>6.6260701500000015E-34</v>
      </c>
      <c r="E5" s="18">
        <f>9.1093837139*10^(-31)</f>
        <v>9.1093837138999998E-31</v>
      </c>
      <c r="F5" s="19">
        <f>1.602176634*10^(-19)</f>
        <v>1.6021766340000001E-19</v>
      </c>
      <c r="G5" s="10">
        <f>213*10^(-12)</f>
        <v>2.1299999999999999E-10</v>
      </c>
    </row>
    <row r="7" spans="1:15">
      <c r="J7" s="2" t="s">
        <v>30</v>
      </c>
    </row>
    <row r="8" spans="1:15">
      <c r="A8" s="4" t="s">
        <v>3</v>
      </c>
      <c r="B8" s="4" t="s">
        <v>31</v>
      </c>
      <c r="C8" s="4" t="s">
        <v>4</v>
      </c>
      <c r="D8" s="4"/>
      <c r="E8" s="4"/>
      <c r="F8" s="4" t="s">
        <v>32</v>
      </c>
      <c r="G8" s="4" t="s">
        <v>33</v>
      </c>
      <c r="H8" s="4" t="s">
        <v>34</v>
      </c>
      <c r="I8" s="4" t="s">
        <v>35</v>
      </c>
      <c r="J8" s="2" t="s">
        <v>36</v>
      </c>
      <c r="K8" s="2"/>
      <c r="L8" s="2" t="s">
        <v>37</v>
      </c>
      <c r="M8" s="2"/>
      <c r="N8" s="20" t="s">
        <v>38</v>
      </c>
    </row>
    <row r="9" spans="1:15">
      <c r="A9" s="21">
        <v>5.08</v>
      </c>
      <c r="B9" s="21">
        <f t="shared" ref="B9:B14" si="0">0.1/SQRT(12)</f>
        <v>2.8867513459481291E-2</v>
      </c>
      <c r="C9" s="13">
        <v>1.5</v>
      </c>
      <c r="D9" s="13">
        <v>1.4</v>
      </c>
      <c r="E9" s="13">
        <v>1.355</v>
      </c>
      <c r="F9" s="21">
        <f t="shared" ref="F9:F14" si="1">AVERAGE(C9:E9)</f>
        <v>1.4183333333333332</v>
      </c>
      <c r="G9" s="13">
        <f t="shared" ref="G9:G12" si="2">STDEV(C9:E9)/3</f>
        <v>2.4739382309124803E-2</v>
      </c>
      <c r="H9" s="13">
        <f t="shared" ref="H9:H14" si="3">0.005/SQRT(12)</f>
        <v>1.4433756729740645E-3</v>
      </c>
      <c r="I9" s="21">
        <f t="shared" ref="I9:I14" si="4">SQRT(SUMSQ(G9,H9))</f>
        <v>2.4781452144101049E-2</v>
      </c>
      <c r="J9" s="6">
        <f>(F9*10^(-2)*G5)/(4*C5)</f>
        <v>1.1619423076923075E-11</v>
      </c>
      <c r="K9" s="6">
        <f>(G5/(4*C5))*I9*10^(-2)</f>
        <v>2.0301728102667396E-13</v>
      </c>
      <c r="L9" s="6">
        <f>D5/SQRT(2*E5*F5*A9*1000)</f>
        <v>1.7207171232217703E-11</v>
      </c>
      <c r="M9" s="6">
        <f>(D5/(2*SQRT(2*E5*F5*(A9*1000)^3)))*B9*1000</f>
        <v>4.8890575506460993E-14</v>
      </c>
      <c r="N9" s="22">
        <f t="shared" ref="N9:N14" si="5">(-(J9-L9)/L9)*100</f>
        <v>32.473368689633617</v>
      </c>
      <c r="O9" s="23"/>
    </row>
    <row r="10" spans="1:15">
      <c r="A10" s="21">
        <v>4.5</v>
      </c>
      <c r="B10" s="21">
        <f t="shared" si="0"/>
        <v>2.8867513459481291E-2</v>
      </c>
      <c r="C10" s="13">
        <v>1.6</v>
      </c>
      <c r="D10" s="13">
        <v>1.62</v>
      </c>
      <c r="E10" s="13">
        <v>1.64</v>
      </c>
      <c r="F10" s="13">
        <f t="shared" si="1"/>
        <v>1.62</v>
      </c>
      <c r="G10" s="13">
        <f t="shared" si="2"/>
        <v>6.6666666666666359E-3</v>
      </c>
      <c r="H10" s="13">
        <f t="shared" si="3"/>
        <v>1.4433756729740645E-3</v>
      </c>
      <c r="I10" s="13">
        <f t="shared" si="4"/>
        <v>6.8211273098936782E-3</v>
      </c>
      <c r="J10" s="6">
        <f>(F10*10^(-2)*G5)/(4*C5)</f>
        <v>1.3271538461538463E-11</v>
      </c>
      <c r="K10" s="6">
        <f>(G5/(4*C5))*I10*10^(-2)</f>
        <v>5.5880773731052052E-14</v>
      </c>
      <c r="L10" s="6">
        <f>D5/SQRT(2*E5*F5*A10*1000)</f>
        <v>1.82824788522265E-11</v>
      </c>
      <c r="M10" s="6">
        <f>(D5/(2*SQRT(2*E5*F5*(A10*1000)^3)))*B10*1000</f>
        <v>5.8641078259925602E-14</v>
      </c>
      <c r="N10" s="22">
        <f t="shared" si="5"/>
        <v>27.408429848000555</v>
      </c>
      <c r="O10" s="23"/>
    </row>
    <row r="11" spans="1:15">
      <c r="A11" s="21">
        <v>4.01</v>
      </c>
      <c r="B11" s="21">
        <f t="shared" si="0"/>
        <v>2.8867513459481291E-2</v>
      </c>
      <c r="C11" s="13">
        <v>1.675</v>
      </c>
      <c r="D11" s="13">
        <v>1.68</v>
      </c>
      <c r="E11" s="13">
        <v>1.77</v>
      </c>
      <c r="F11" s="21">
        <f t="shared" si="1"/>
        <v>1.7083333333333333</v>
      </c>
      <c r="G11" s="13">
        <f t="shared" si="2"/>
        <v>1.7821127702606049E-2</v>
      </c>
      <c r="H11" s="13">
        <f t="shared" si="3"/>
        <v>1.4433756729740645E-3</v>
      </c>
      <c r="I11" s="21">
        <f t="shared" si="4"/>
        <v>1.7879483379726776E-2</v>
      </c>
      <c r="J11" s="6">
        <f>(F11*10^(-2)*G5)/(4*C5)</f>
        <v>1.3995192307692305E-11</v>
      </c>
      <c r="K11" s="6">
        <f>(G5/(4*C5))*I11*10^(-2)</f>
        <v>1.4647422922622319E-13</v>
      </c>
      <c r="L11" s="6">
        <f>D5/SQRT(2*E5*F5*A11*1000)</f>
        <v>1.9367303142856639E-11</v>
      </c>
      <c r="M11" s="6">
        <f>(D5/(2*SQRT(2*E5*F5*(A11*1000)^3)))*B11*1000</f>
        <v>6.9711456876592061E-14</v>
      </c>
      <c r="N11" s="22">
        <f t="shared" si="5"/>
        <v>27.738042800996599</v>
      </c>
      <c r="O11" s="23"/>
    </row>
    <row r="12" spans="1:15">
      <c r="A12" s="21">
        <v>3.77</v>
      </c>
      <c r="B12" s="21">
        <f t="shared" si="0"/>
        <v>2.8867513459481291E-2</v>
      </c>
      <c r="C12" s="13">
        <v>1.7649999999999999</v>
      </c>
      <c r="D12" s="13">
        <v>1.78</v>
      </c>
      <c r="E12" s="13"/>
      <c r="F12" s="13">
        <f t="shared" si="1"/>
        <v>1.7725</v>
      </c>
      <c r="G12" s="13">
        <f t="shared" si="2"/>
        <v>3.5355339059327667E-3</v>
      </c>
      <c r="H12" s="13">
        <f t="shared" si="3"/>
        <v>1.4433756729740645E-3</v>
      </c>
      <c r="I12" s="13">
        <f t="shared" si="4"/>
        <v>3.8188130791298935E-3</v>
      </c>
      <c r="J12" s="6">
        <f>(F12*10^(-2)*G5)/(4*C5)</f>
        <v>1.4520865384615385E-11</v>
      </c>
      <c r="K12" s="6">
        <f>(G5/(4*C5))*I12*10^(-2)</f>
        <v>3.1284891763641051E-14</v>
      </c>
      <c r="L12" s="6">
        <f>D5/SQRT(2*E5*F5*A12*1000)</f>
        <v>1.9974258291003625E-11</v>
      </c>
      <c r="M12" s="6">
        <f>(D5/(2*SQRT(2*E5*F5*(A12*1000)^3)))*B12*1000</f>
        <v>7.6473099477281552E-14</v>
      </c>
      <c r="N12" s="22">
        <f t="shared" si="5"/>
        <v>27.302104673616039</v>
      </c>
      <c r="O12" s="23"/>
    </row>
    <row r="13" spans="1:15">
      <c r="A13" s="21">
        <v>3.5</v>
      </c>
      <c r="B13" s="21">
        <f t="shared" si="0"/>
        <v>2.8867513459481291E-2</v>
      </c>
      <c r="C13" s="13">
        <v>1.855</v>
      </c>
      <c r="D13" s="13"/>
      <c r="E13" s="13"/>
      <c r="F13" s="13">
        <f t="shared" si="1"/>
        <v>1.855</v>
      </c>
      <c r="G13" s="13">
        <v>0</v>
      </c>
      <c r="H13" s="13">
        <f t="shared" si="3"/>
        <v>1.4433756729740645E-3</v>
      </c>
      <c r="I13" s="13">
        <f t="shared" si="4"/>
        <v>1.4433756729740645E-3</v>
      </c>
      <c r="J13" s="6">
        <f>(F13*10^(-2)*G5)/(4*C5)</f>
        <v>1.5196730769230768E-11</v>
      </c>
      <c r="K13" s="6">
        <f>(G5/(4*C5))*I13*10^(-2)</f>
        <v>1.182457762859522E-14</v>
      </c>
      <c r="L13" s="6">
        <f>D5/SQRT(2*E5*F5*A13*1000)</f>
        <v>2.0730382454052389E-11</v>
      </c>
      <c r="M13" s="6">
        <f>(D5/(2*SQRT(2*E5*F5*(A13*1000)^3)))*B13*1000</f>
        <v>8.5490656358936021E-14</v>
      </c>
      <c r="N13" s="22">
        <f t="shared" si="5"/>
        <v>26.69343750452563</v>
      </c>
      <c r="O13" s="23"/>
    </row>
    <row r="14" spans="1:15">
      <c r="A14" s="21">
        <v>3.33</v>
      </c>
      <c r="B14" s="21">
        <f t="shared" si="0"/>
        <v>2.8867513459481291E-2</v>
      </c>
      <c r="C14" s="13">
        <v>1.915</v>
      </c>
      <c r="D14" s="13"/>
      <c r="E14" s="13"/>
      <c r="F14" s="13">
        <f t="shared" si="1"/>
        <v>1.915</v>
      </c>
      <c r="G14" s="13">
        <v>0</v>
      </c>
      <c r="H14" s="13">
        <f t="shared" si="3"/>
        <v>1.4433756729740645E-3</v>
      </c>
      <c r="I14" s="13">
        <f t="shared" si="4"/>
        <v>1.4433756729740645E-3</v>
      </c>
      <c r="J14" s="6">
        <f>(F14*10^(-2)*G5)/(4*C5)</f>
        <v>1.5688269230769231E-11</v>
      </c>
      <c r="K14" s="6">
        <f>(G5/(4*C5))*I14*10^(-2)</f>
        <v>1.182457762859522E-14</v>
      </c>
      <c r="L14" s="6">
        <f>D5/SQRT(2*E5*F5*A14*1000)</f>
        <v>2.1252949969551415E-11</v>
      </c>
      <c r="M14" s="6">
        <f>(D5/(2*SQRT(2*E5*F5*(A14*1000)^3)))*B14*1000</f>
        <v>9.2120092987944153E-14</v>
      </c>
      <c r="N14" s="22">
        <f t="shared" si="5"/>
        <v>26.18309809581525</v>
      </c>
      <c r="O14" s="23"/>
    </row>
    <row r="15" spans="1:15">
      <c r="L15" s="11"/>
    </row>
    <row r="16" spans="1:15">
      <c r="A16" s="24" t="s">
        <v>24</v>
      </c>
      <c r="E16" s="25" t="s">
        <v>39</v>
      </c>
    </row>
    <row r="17" spans="1:8">
      <c r="A17" s="4" t="s">
        <v>40</v>
      </c>
      <c r="B17" s="4" t="s">
        <v>41</v>
      </c>
      <c r="C17" s="4" t="s">
        <v>42</v>
      </c>
      <c r="D17" s="4" t="s">
        <v>43</v>
      </c>
      <c r="E17" s="2" t="s">
        <v>36</v>
      </c>
      <c r="F17" s="2"/>
      <c r="G17" s="2" t="s">
        <v>37</v>
      </c>
      <c r="H17" s="2"/>
    </row>
    <row r="18" spans="1:8">
      <c r="A18" s="26">
        <f t="shared" ref="A18:B18" si="6">A9*1000</f>
        <v>5080</v>
      </c>
      <c r="B18" s="26">
        <f t="shared" si="6"/>
        <v>28.867513459481291</v>
      </c>
      <c r="C18" s="27">
        <f t="shared" ref="C18:C23" si="7">F9/100</f>
        <v>1.4183333333333333E-2</v>
      </c>
      <c r="D18" s="27">
        <f t="shared" ref="D18:D23" si="8">I9/100</f>
        <v>2.478145214410105E-4</v>
      </c>
      <c r="E18" s="28">
        <f t="shared" ref="E18:H18" si="9">J9*(10^(10))</f>
        <v>0.11619423076923076</v>
      </c>
      <c r="F18" s="28">
        <f t="shared" si="9"/>
        <v>2.0301728102667393E-3</v>
      </c>
      <c r="G18" s="29">
        <f t="shared" si="9"/>
        <v>0.17207171232217702</v>
      </c>
      <c r="H18" s="29">
        <f t="shared" si="9"/>
        <v>4.8890575506460989E-4</v>
      </c>
    </row>
    <row r="19" spans="1:8">
      <c r="A19" s="26">
        <f t="shared" ref="A19:B19" si="10">A10*1000</f>
        <v>4500</v>
      </c>
      <c r="B19" s="26">
        <f t="shared" si="10"/>
        <v>28.867513459481291</v>
      </c>
      <c r="C19" s="30">
        <f t="shared" si="7"/>
        <v>1.6200000000000003E-2</v>
      </c>
      <c r="D19" s="30">
        <f t="shared" si="8"/>
        <v>6.8211273098936777E-5</v>
      </c>
      <c r="E19" s="29">
        <f t="shared" ref="E19:H19" si="11">J10*(10^(10))</f>
        <v>0.13271538461538462</v>
      </c>
      <c r="F19" s="29">
        <f t="shared" si="11"/>
        <v>5.588077373105205E-4</v>
      </c>
      <c r="G19" s="29">
        <f t="shared" si="11"/>
        <v>0.182824788522265</v>
      </c>
      <c r="H19" s="29">
        <f t="shared" si="11"/>
        <v>5.8641078259925601E-4</v>
      </c>
    </row>
    <row r="20" spans="1:8">
      <c r="A20" s="26">
        <f t="shared" ref="A20:B20" si="12">A11*1000</f>
        <v>4010</v>
      </c>
      <c r="B20" s="26">
        <f t="shared" si="12"/>
        <v>28.867513459481291</v>
      </c>
      <c r="C20" s="27">
        <f t="shared" si="7"/>
        <v>1.7083333333333332E-2</v>
      </c>
      <c r="D20" s="27">
        <f t="shared" si="8"/>
        <v>1.7879483379726777E-4</v>
      </c>
      <c r="E20" s="28">
        <f t="shared" ref="E20:H20" si="13">J11*(10^(10))</f>
        <v>0.13995192307692306</v>
      </c>
      <c r="F20" s="28">
        <f t="shared" si="13"/>
        <v>1.464742292262232E-3</v>
      </c>
      <c r="G20" s="29">
        <f t="shared" si="13"/>
        <v>0.19367303142856637</v>
      </c>
      <c r="H20" s="29">
        <f t="shared" si="13"/>
        <v>6.9711456876592063E-4</v>
      </c>
    </row>
    <row r="21" spans="1:8">
      <c r="A21" s="26">
        <f t="shared" ref="A21:B21" si="14">A12*1000</f>
        <v>3770</v>
      </c>
      <c r="B21" s="26">
        <f t="shared" si="14"/>
        <v>28.867513459481291</v>
      </c>
      <c r="C21" s="30">
        <f t="shared" si="7"/>
        <v>1.7725000000000001E-2</v>
      </c>
      <c r="D21" s="30">
        <f t="shared" si="8"/>
        <v>3.8188130791298935E-5</v>
      </c>
      <c r="E21" s="29">
        <f t="shared" ref="E21:H21" si="15">J12*(10^(10))</f>
        <v>0.14520865384615383</v>
      </c>
      <c r="F21" s="29">
        <f t="shared" si="15"/>
        <v>3.128489176364105E-4</v>
      </c>
      <c r="G21" s="29">
        <f t="shared" si="15"/>
        <v>0.19974258291003624</v>
      </c>
      <c r="H21" s="29">
        <f t="shared" si="15"/>
        <v>7.6473099477281548E-4</v>
      </c>
    </row>
    <row r="22" spans="1:8">
      <c r="A22" s="26">
        <f t="shared" ref="A22:B22" si="16">A13*1000</f>
        <v>3500</v>
      </c>
      <c r="B22" s="26">
        <f t="shared" si="16"/>
        <v>28.867513459481291</v>
      </c>
      <c r="C22" s="30">
        <f t="shared" si="7"/>
        <v>1.8550000000000001E-2</v>
      </c>
      <c r="D22" s="30">
        <f t="shared" si="8"/>
        <v>1.4433756729740645E-5</v>
      </c>
      <c r="E22" s="29">
        <f t="shared" ref="E22:H22" si="17">J13*(10^(10))</f>
        <v>0.15196730769230768</v>
      </c>
      <c r="F22" s="29">
        <f t="shared" si="17"/>
        <v>1.182457762859522E-4</v>
      </c>
      <c r="G22" s="29">
        <f t="shared" si="17"/>
        <v>0.20730382454052387</v>
      </c>
      <c r="H22" s="29">
        <f t="shared" si="17"/>
        <v>8.5490656358936019E-4</v>
      </c>
    </row>
    <row r="23" spans="1:8">
      <c r="A23" s="26">
        <f t="shared" ref="A23:B23" si="18">A14*1000</f>
        <v>3330</v>
      </c>
      <c r="B23" s="26">
        <f t="shared" si="18"/>
        <v>28.867513459481291</v>
      </c>
      <c r="C23" s="30">
        <f t="shared" si="7"/>
        <v>1.915E-2</v>
      </c>
      <c r="D23" s="30">
        <f t="shared" si="8"/>
        <v>1.4433756729740645E-5</v>
      </c>
      <c r="E23" s="29">
        <f t="shared" ref="E23:H23" si="19">J14*(10^(10))</f>
        <v>0.15688269230769231</v>
      </c>
      <c r="F23" s="29">
        <f t="shared" si="19"/>
        <v>1.182457762859522E-4</v>
      </c>
      <c r="G23" s="29">
        <f t="shared" si="19"/>
        <v>0.21252949969551416</v>
      </c>
      <c r="H23" s="29">
        <f t="shared" si="19"/>
        <v>9.2120092987944152E-4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Alex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2025-11-15T23:39:34Z</dcterms:modified>
</cp:coreProperties>
</file>