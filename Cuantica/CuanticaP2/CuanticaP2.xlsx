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das" sheetId="1" r:id="rId4"/>
    <sheet state="visible" name="Alex" sheetId="2" r:id="rId5"/>
    <sheet state="visible" name="Irene" sheetId="3" r:id="rId6"/>
  </sheets>
  <definedNames/>
  <calcPr/>
</workbook>
</file>

<file path=xl/sharedStrings.xml><?xml version="1.0" encoding="utf-8"?>
<sst xmlns="http://schemas.openxmlformats.org/spreadsheetml/2006/main" count="146" uniqueCount="56">
  <si>
    <t>First Order</t>
  </si>
  <si>
    <t>SIN FILTROS</t>
  </si>
  <si>
    <t>CON FILTROS</t>
  </si>
  <si>
    <t>Second Order</t>
  </si>
  <si>
    <t>Relative transmission</t>
  </si>
  <si>
    <t>Stopping Potential (V)</t>
  </si>
  <si>
    <t>Stabilization time (s)</t>
  </si>
  <si>
    <t>Battery Voltage (V)</t>
  </si>
  <si>
    <t>Yellow</t>
  </si>
  <si>
    <t>RT</t>
  </si>
  <si>
    <t>Green</t>
  </si>
  <si>
    <t>&lt;- se mezcla con el third order azul</t>
  </si>
  <si>
    <t>Sensibilidades</t>
  </si>
  <si>
    <t>Blue</t>
  </si>
  <si>
    <t>Timer (s)</t>
  </si>
  <si>
    <t>V1</t>
  </si>
  <si>
    <t>Voltimetro modo 2V (V)</t>
  </si>
  <si>
    <t>0.5% reading + 0,003</t>
  </si>
  <si>
    <t>V2</t>
  </si>
  <si>
    <t>^ Peaktech 2005 2V</t>
  </si>
  <si>
    <t>Wavelenght</t>
  </si>
  <si>
    <t>c</t>
  </si>
  <si>
    <t>Frequency</t>
  </si>
  <si>
    <t>Violet 1</t>
  </si>
  <si>
    <t>Violet 2</t>
  </si>
  <si>
    <t>INCERTIDUMBRES</t>
  </si>
  <si>
    <t>f</t>
  </si>
  <si>
    <t>V</t>
  </si>
  <si>
    <t>f (Hz)</t>
  </si>
  <si>
    <t>Error f</t>
  </si>
  <si>
    <t>Error Vo</t>
  </si>
  <si>
    <t>error V</t>
  </si>
  <si>
    <t>error t</t>
  </si>
  <si>
    <t>error tiempo</t>
  </si>
  <si>
    <t>Green rad</t>
  </si>
  <si>
    <t>error rel</t>
  </si>
  <si>
    <t>AJUSTE LINEAL Vo vs f</t>
  </si>
  <si>
    <t>e_teo (C)</t>
  </si>
  <si>
    <t>a  (V/Hz)</t>
  </si>
  <si>
    <t>h_teo (Js)</t>
  </si>
  <si>
    <t>error a</t>
  </si>
  <si>
    <t>b (V)</t>
  </si>
  <si>
    <t>error b</t>
  </si>
  <si>
    <t>chi^2</t>
  </si>
  <si>
    <t>R^2</t>
  </si>
  <si>
    <t>h exp</t>
  </si>
  <si>
    <t>error h</t>
  </si>
  <si>
    <t>error rel (%)</t>
  </si>
  <si>
    <t>f_o</t>
  </si>
  <si>
    <t>error f_o</t>
  </si>
  <si>
    <t>n=2</t>
  </si>
  <si>
    <t>n=3</t>
  </si>
  <si>
    <t>theta green</t>
  </si>
  <si>
    <t>theta blue</t>
  </si>
  <si>
    <t>theta violet 1</t>
  </si>
  <si>
    <t>theta violet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</si>
</sst>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"/>
    <numFmt numFmtId="165" formatCode="0.0000"/>
    <numFmt numFmtId="166" formatCode="0.000E+00"/>
    <numFmt numFmtId="167" formatCode="0.0E+00"/>
    <numFmt numFmtId="168" formatCode="0.000000E+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3D85C6"/>
        <bgColor rgb="FF3D85C6"/>
      </patternFill>
    </fill>
    <fill>
      <patternFill patternType="solid">
        <fgColor rgb="FFC9DAF8"/>
        <bgColor rgb="FFC9DAF8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1" numFmtId="0" xfId="0" applyFont="1"/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5" fontId="2" numFmtId="0" xfId="0" applyAlignment="1" applyFill="1" applyFont="1">
      <alignment readingOrder="0"/>
    </xf>
    <xf borderId="0" fillId="5" fontId="4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7" fontId="4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3" fontId="1" numFmtId="0" xfId="0" applyFont="1"/>
    <xf borderId="0" fillId="0" fontId="1" numFmtId="0" xfId="0" applyFont="1"/>
    <xf borderId="0" fillId="9" fontId="3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14" fontId="2" numFmtId="0" xfId="0" applyAlignment="1" applyFill="1" applyFont="1">
      <alignment readingOrder="0"/>
    </xf>
    <xf borderId="0" fillId="6" fontId="3" numFmtId="0" xfId="0" applyFont="1"/>
    <xf borderId="0" fillId="5" fontId="5" numFmtId="0" xfId="0" applyAlignment="1" applyFont="1">
      <alignment readingOrder="0"/>
    </xf>
    <xf borderId="0" fillId="9" fontId="3" numFmtId="0" xfId="0" applyFont="1"/>
    <xf borderId="0" fillId="11" fontId="3" numFmtId="0" xfId="0" applyFont="1"/>
    <xf borderId="0" fillId="13" fontId="3" numFmtId="0" xfId="0" applyFont="1"/>
    <xf borderId="0" fillId="7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5" fontId="2" numFmtId="11" xfId="0" applyFont="1" applyNumberFormat="1"/>
    <xf borderId="0" fillId="5" fontId="2" numFmtId="165" xfId="0" applyAlignment="1" applyFont="1" applyNumberFormat="1">
      <alignment readingOrder="0"/>
    </xf>
    <xf borderId="0" fillId="7" fontId="2" numFmtId="11" xfId="0" applyFont="1" applyNumberFormat="1"/>
    <xf borderId="0" fillId="7" fontId="4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10" fontId="2" numFmtId="11" xfId="0" applyFont="1" applyNumberFormat="1"/>
    <xf borderId="0" fillId="10" fontId="2" numFmtId="164" xfId="0" applyAlignment="1" applyFont="1" applyNumberFormat="1">
      <alignment readingOrder="0"/>
    </xf>
    <xf borderId="0" fillId="7" fontId="2" numFmtId="165" xfId="0" applyAlignment="1" applyFont="1" applyNumberFormat="1">
      <alignment readingOrder="0"/>
    </xf>
    <xf borderId="0" fillId="15" fontId="2" numFmtId="11" xfId="0" applyFill="1" applyFont="1" applyNumberFormat="1"/>
    <xf borderId="0" fillId="12" fontId="2" numFmtId="164" xfId="0" applyAlignment="1" applyFont="1" applyNumberFormat="1">
      <alignment readingOrder="0"/>
    </xf>
    <xf borderId="0" fillId="15" fontId="2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14" fontId="2" numFmtId="11" xfId="0" applyFont="1" applyNumberFormat="1"/>
    <xf borderId="0" fillId="14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2" numFmtId="166" xfId="0" applyFont="1" applyNumberFormat="1"/>
    <xf borderId="0" fillId="0" fontId="2" numFmtId="167" xfId="0" applyFont="1" applyNumberFormat="1"/>
    <xf borderId="0" fillId="0" fontId="2" numFmtId="168" xfId="0" applyFont="1" applyNumberFormat="1"/>
    <xf borderId="0" fillId="0" fontId="2" numFmtId="11" xfId="0" applyAlignment="1" applyFont="1" applyNumberFormat="1">
      <alignment readingOrder="0"/>
    </xf>
    <xf borderId="0" fillId="0" fontId="2" numFmtId="164" xfId="0" applyFont="1" applyNumberFormat="1"/>
    <xf borderId="0" fillId="0" fontId="2" numFmtId="11" xfId="0" applyFont="1" applyNumberFormat="1"/>
    <xf borderId="0" fillId="0" fontId="2" numFmtId="4" xfId="0" applyFont="1" applyNumberFormat="1"/>
    <xf borderId="0" fillId="0" fontId="2" numFmtId="167" xfId="0" applyAlignment="1" applyFont="1" applyNumberFormat="1">
      <alignment readingOrder="0"/>
    </xf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8.25"/>
    <col customWidth="1" min="3" max="3" width="4.75"/>
    <col customWidth="1" min="5" max="5" width="18.0"/>
    <col customWidth="1" min="6" max="6" width="22.13"/>
    <col customWidth="1" min="7" max="7" width="5.0"/>
    <col customWidth="1" min="8" max="8" width="10.5"/>
    <col customWidth="1" min="9" max="9" width="19.63"/>
    <col customWidth="1" min="10" max="10" width="18.25"/>
    <col customWidth="1" min="11" max="11" width="12.38"/>
    <col customWidth="1" min="12" max="12" width="12.88"/>
    <col customWidth="1" min="13" max="13" width="21.38"/>
    <col customWidth="1" min="14" max="14" width="19.0"/>
    <col customWidth="1" min="15" max="15" width="29.13"/>
  </cols>
  <sheetData>
    <row r="1">
      <c r="D1" s="1" t="s">
        <v>0</v>
      </c>
      <c r="E1" s="1" t="s">
        <v>1</v>
      </c>
      <c r="F1" s="2"/>
      <c r="H1" s="1" t="s">
        <v>0</v>
      </c>
      <c r="I1" s="1" t="s">
        <v>2</v>
      </c>
      <c r="J1" s="2"/>
      <c r="L1" s="1" t="s">
        <v>3</v>
      </c>
      <c r="M1" s="1" t="s">
        <v>2</v>
      </c>
      <c r="N1" s="3"/>
    </row>
    <row r="2">
      <c r="D2" s="1" t="s">
        <v>4</v>
      </c>
      <c r="E2" s="3"/>
      <c r="F2" s="2"/>
      <c r="H2" s="2"/>
      <c r="I2" s="1" t="s">
        <v>5</v>
      </c>
      <c r="J2" s="1" t="s">
        <v>6</v>
      </c>
      <c r="L2" s="3"/>
      <c r="M2" s="1" t="s">
        <v>5</v>
      </c>
      <c r="N2" s="1" t="s">
        <v>6</v>
      </c>
    </row>
    <row r="3">
      <c r="A3" s="4" t="s">
        <v>7</v>
      </c>
      <c r="B3" s="4">
        <v>16.94</v>
      </c>
      <c r="C3" s="5"/>
      <c r="E3" s="6" t="s">
        <v>8</v>
      </c>
      <c r="F3" s="7"/>
      <c r="H3" s="6" t="s">
        <v>8</v>
      </c>
      <c r="I3" s="8">
        <v>0.726</v>
      </c>
      <c r="J3" s="9">
        <v>2.65</v>
      </c>
      <c r="L3" s="6" t="s">
        <v>8</v>
      </c>
      <c r="M3" s="8">
        <v>0.742</v>
      </c>
      <c r="N3" s="8">
        <v>9.12</v>
      </c>
    </row>
    <row r="4">
      <c r="D4" s="6" t="s">
        <v>9</v>
      </c>
      <c r="E4" s="6" t="s">
        <v>5</v>
      </c>
      <c r="F4" s="6" t="s">
        <v>6</v>
      </c>
      <c r="H4" s="10" t="s">
        <v>10</v>
      </c>
      <c r="I4" s="11">
        <v>0.888</v>
      </c>
      <c r="J4" s="11">
        <v>3.57</v>
      </c>
      <c r="L4" s="10" t="s">
        <v>10</v>
      </c>
      <c r="M4" s="12">
        <v>1.423</v>
      </c>
      <c r="N4" s="11">
        <v>7.23</v>
      </c>
      <c r="O4" s="13" t="s">
        <v>11</v>
      </c>
    </row>
    <row r="5">
      <c r="A5" s="4" t="s">
        <v>12</v>
      </c>
      <c r="B5" s="14"/>
      <c r="C5" s="15"/>
      <c r="D5" s="6">
        <v>1.0</v>
      </c>
      <c r="E5" s="8">
        <v>1.066</v>
      </c>
      <c r="F5" s="8">
        <v>2.66</v>
      </c>
      <c r="H5" s="16" t="s">
        <v>13</v>
      </c>
      <c r="I5" s="17">
        <v>1.476</v>
      </c>
      <c r="J5" s="17">
        <v>4.09</v>
      </c>
      <c r="L5" s="16" t="s">
        <v>13</v>
      </c>
      <c r="M5" s="17">
        <v>1.503</v>
      </c>
      <c r="N5" s="17">
        <v>5.18</v>
      </c>
    </row>
    <row r="6">
      <c r="A6" s="4" t="s">
        <v>14</v>
      </c>
      <c r="B6" s="4">
        <v>0.01</v>
      </c>
      <c r="C6" s="5"/>
      <c r="D6" s="6">
        <v>0.8</v>
      </c>
      <c r="E6" s="8">
        <v>1.073</v>
      </c>
      <c r="F6" s="8">
        <v>3.37</v>
      </c>
      <c r="H6" s="18" t="s">
        <v>15</v>
      </c>
      <c r="I6" s="19">
        <v>1.655</v>
      </c>
      <c r="J6" s="19">
        <v>5.08</v>
      </c>
      <c r="L6" s="18" t="s">
        <v>15</v>
      </c>
      <c r="M6" s="19">
        <v>1.685</v>
      </c>
      <c r="N6" s="19">
        <v>7.54</v>
      </c>
    </row>
    <row r="7">
      <c r="A7" s="4" t="s">
        <v>16</v>
      </c>
      <c r="B7" s="4" t="s">
        <v>17</v>
      </c>
      <c r="C7" s="5"/>
      <c r="D7" s="6">
        <v>0.6</v>
      </c>
      <c r="E7" s="8">
        <v>1.076</v>
      </c>
      <c r="F7" s="8">
        <v>5.41</v>
      </c>
      <c r="H7" s="20" t="s">
        <v>18</v>
      </c>
      <c r="I7" s="21">
        <v>1.922</v>
      </c>
      <c r="J7" s="21">
        <v>10.94</v>
      </c>
      <c r="L7" s="20" t="s">
        <v>18</v>
      </c>
      <c r="M7" s="21">
        <v>1.965</v>
      </c>
      <c r="N7" s="21">
        <v>10.62</v>
      </c>
    </row>
    <row r="8">
      <c r="A8" s="4" t="s">
        <v>19</v>
      </c>
      <c r="D8" s="6">
        <v>0.4</v>
      </c>
      <c r="E8" s="8">
        <v>1.075</v>
      </c>
      <c r="F8" s="8">
        <v>11.32</v>
      </c>
    </row>
    <row r="9">
      <c r="D9" s="6">
        <v>0.2</v>
      </c>
      <c r="E9" s="8">
        <v>1.059</v>
      </c>
      <c r="F9" s="8">
        <v>19.57</v>
      </c>
    </row>
    <row r="10">
      <c r="E10" s="10" t="s">
        <v>10</v>
      </c>
      <c r="F10" s="22"/>
    </row>
    <row r="11">
      <c r="D11" s="10" t="s">
        <v>9</v>
      </c>
      <c r="E11" s="10" t="s">
        <v>5</v>
      </c>
      <c r="F11" s="10" t="s">
        <v>6</v>
      </c>
      <c r="H11" s="2"/>
      <c r="I11" s="1" t="s">
        <v>20</v>
      </c>
      <c r="J11" s="1" t="s">
        <v>21</v>
      </c>
      <c r="K11" s="1" t="s">
        <v>22</v>
      </c>
    </row>
    <row r="12">
      <c r="D12" s="10">
        <v>1.0</v>
      </c>
      <c r="E12" s="11">
        <v>0.995</v>
      </c>
      <c r="F12" s="12">
        <v>2.48</v>
      </c>
      <c r="H12" s="6" t="s">
        <v>8</v>
      </c>
      <c r="I12" s="8">
        <f>578.969*10^(-9)</f>
        <v>0.000000578969</v>
      </c>
      <c r="J12" s="23">
        <f>299792458</f>
        <v>299792458</v>
      </c>
      <c r="K12" s="23">
        <f t="shared" ref="K12:K16" si="1">J12/I12</f>
        <v>517803989505483</v>
      </c>
    </row>
    <row r="13">
      <c r="D13" s="10">
        <v>0.8</v>
      </c>
      <c r="E13" s="11">
        <v>1.005</v>
      </c>
      <c r="F13" s="11">
        <v>2.39</v>
      </c>
      <c r="H13" s="10" t="s">
        <v>10</v>
      </c>
      <c r="I13" s="11">
        <f>546.075*10^(-9)</f>
        <v>0.000000546075</v>
      </c>
      <c r="J13" s="11">
        <v>2.99792458E8</v>
      </c>
      <c r="K13" s="11">
        <f t="shared" si="1"/>
        <v>548995024492973</v>
      </c>
    </row>
    <row r="14">
      <c r="D14" s="10">
        <v>0.6</v>
      </c>
      <c r="E14" s="11">
        <v>1.008</v>
      </c>
      <c r="F14" s="11">
        <v>2.73</v>
      </c>
      <c r="H14" s="16" t="s">
        <v>13</v>
      </c>
      <c r="I14" s="17">
        <f>435.8335*10^(-9)</f>
        <v>0.0000004358335</v>
      </c>
      <c r="J14" s="17">
        <v>2.99792458E8</v>
      </c>
      <c r="K14" s="17">
        <f t="shared" si="1"/>
        <v>687860061238982</v>
      </c>
    </row>
    <row r="15">
      <c r="D15" s="10">
        <v>0.4</v>
      </c>
      <c r="E15" s="11">
        <v>1.005</v>
      </c>
      <c r="F15" s="11">
        <v>4.19</v>
      </c>
      <c r="H15" s="18" t="s">
        <v>15</v>
      </c>
      <c r="I15" s="19">
        <f>404.65643*10^(-9)</f>
        <v>0.00000040465643</v>
      </c>
      <c r="J15" s="19">
        <v>2.99792458E8</v>
      </c>
      <c r="K15" s="19">
        <f t="shared" si="1"/>
        <v>740856775709705</v>
      </c>
    </row>
    <row r="16">
      <c r="D16" s="10">
        <v>0.2</v>
      </c>
      <c r="E16" s="11">
        <v>1.003</v>
      </c>
      <c r="F16" s="11">
        <v>7.25</v>
      </c>
      <c r="H16" s="20" t="s">
        <v>18</v>
      </c>
      <c r="I16" s="21">
        <f>365.48429*10^(-9)</f>
        <v>0.00000036548429</v>
      </c>
      <c r="J16" s="21">
        <v>2.99792458E8</v>
      </c>
      <c r="K16" s="21">
        <f t="shared" si="1"/>
        <v>820260859912748</v>
      </c>
    </row>
    <row r="17">
      <c r="E17" s="16" t="s">
        <v>13</v>
      </c>
      <c r="F17" s="24"/>
    </row>
    <row r="18">
      <c r="D18" s="16" t="s">
        <v>9</v>
      </c>
      <c r="E18" s="16" t="s">
        <v>5</v>
      </c>
      <c r="F18" s="16" t="s">
        <v>6</v>
      </c>
    </row>
    <row r="19">
      <c r="D19" s="16">
        <v>1.0</v>
      </c>
      <c r="E19" s="19">
        <v>1.453</v>
      </c>
      <c r="F19" s="19">
        <v>4.71</v>
      </c>
    </row>
    <row r="20">
      <c r="D20" s="16">
        <v>0.8</v>
      </c>
      <c r="E20" s="19">
        <v>1.472</v>
      </c>
      <c r="F20" s="19">
        <v>6.71</v>
      </c>
    </row>
    <row r="21">
      <c r="D21" s="16">
        <v>0.6</v>
      </c>
      <c r="E21" s="19">
        <v>1.472</v>
      </c>
      <c r="F21" s="19">
        <v>7.14</v>
      </c>
    </row>
    <row r="22">
      <c r="D22" s="16">
        <v>0.4</v>
      </c>
      <c r="E22" s="19">
        <v>1.476</v>
      </c>
      <c r="F22" s="19">
        <v>10.59</v>
      </c>
    </row>
    <row r="23">
      <c r="D23" s="16">
        <v>0.2</v>
      </c>
      <c r="E23" s="19">
        <v>1.467</v>
      </c>
      <c r="F23" s="19">
        <v>12.0</v>
      </c>
    </row>
    <row r="24">
      <c r="E24" s="18" t="s">
        <v>23</v>
      </c>
      <c r="F24" s="25"/>
    </row>
    <row r="25">
      <c r="D25" s="18" t="s">
        <v>9</v>
      </c>
      <c r="E25" s="18" t="s">
        <v>5</v>
      </c>
      <c r="F25" s="18" t="s">
        <v>6</v>
      </c>
    </row>
    <row r="26">
      <c r="D26" s="18">
        <v>1.0</v>
      </c>
      <c r="E26" s="19">
        <v>1.65</v>
      </c>
      <c r="F26" s="19">
        <v>8.28</v>
      </c>
    </row>
    <row r="27">
      <c r="D27" s="18">
        <v>0.8</v>
      </c>
      <c r="E27" s="19">
        <v>1.646</v>
      </c>
      <c r="F27" s="19">
        <v>9.95</v>
      </c>
    </row>
    <row r="28">
      <c r="D28" s="18">
        <v>0.6</v>
      </c>
      <c r="E28" s="19">
        <v>1.654</v>
      </c>
      <c r="F28" s="19">
        <v>12.92</v>
      </c>
    </row>
    <row r="29">
      <c r="D29" s="18">
        <v>0.4</v>
      </c>
      <c r="E29" s="19">
        <v>1.644</v>
      </c>
      <c r="F29" s="19">
        <v>15.36</v>
      </c>
    </row>
    <row r="30">
      <c r="D30" s="18">
        <v>0.2</v>
      </c>
      <c r="E30" s="19">
        <v>1.636</v>
      </c>
      <c r="F30" s="19">
        <v>22.75</v>
      </c>
    </row>
    <row r="31">
      <c r="E31" s="20" t="s">
        <v>24</v>
      </c>
      <c r="F31" s="26"/>
    </row>
    <row r="32">
      <c r="D32" s="20" t="s">
        <v>9</v>
      </c>
      <c r="E32" s="20" t="s">
        <v>5</v>
      </c>
      <c r="F32" s="20" t="s">
        <v>6</v>
      </c>
    </row>
    <row r="33">
      <c r="D33" s="20">
        <v>1.0</v>
      </c>
      <c r="E33" s="21">
        <v>1.911</v>
      </c>
      <c r="F33" s="21">
        <v>16.64</v>
      </c>
    </row>
    <row r="34">
      <c r="D34" s="20">
        <v>0.8</v>
      </c>
      <c r="E34" s="21">
        <v>1.935</v>
      </c>
      <c r="F34" s="21">
        <v>18.31</v>
      </c>
    </row>
    <row r="35">
      <c r="D35" s="20">
        <v>0.6</v>
      </c>
      <c r="E35" s="21">
        <v>1.925</v>
      </c>
      <c r="F35" s="21">
        <v>21.74</v>
      </c>
    </row>
    <row r="36">
      <c r="D36" s="20">
        <v>0.4</v>
      </c>
      <c r="E36" s="21">
        <v>1.923</v>
      </c>
      <c r="F36" s="21">
        <v>29.9</v>
      </c>
    </row>
    <row r="37">
      <c r="D37" s="20">
        <v>0.2</v>
      </c>
      <c r="E37" s="21">
        <v>1.887</v>
      </c>
      <c r="F37" s="21">
        <v>37.82</v>
      </c>
    </row>
    <row r="41">
      <c r="A41" s="1" t="s">
        <v>25</v>
      </c>
      <c r="D41" s="1" t="s">
        <v>0</v>
      </c>
      <c r="E41" s="1" t="s">
        <v>1</v>
      </c>
      <c r="F41" s="2"/>
      <c r="H41" s="1" t="s">
        <v>0</v>
      </c>
      <c r="I41" s="1" t="s">
        <v>2</v>
      </c>
      <c r="J41" s="2"/>
      <c r="L41" s="1" t="s">
        <v>3</v>
      </c>
      <c r="M41" s="1" t="s">
        <v>2</v>
      </c>
      <c r="N41" s="3"/>
    </row>
    <row r="42">
      <c r="D42" s="1" t="s">
        <v>4</v>
      </c>
      <c r="E42" s="3"/>
      <c r="F42" s="2"/>
      <c r="H42" s="2"/>
      <c r="I42" s="1" t="s">
        <v>5</v>
      </c>
      <c r="J42" s="1" t="s">
        <v>6</v>
      </c>
      <c r="L42" s="3"/>
      <c r="M42" s="1" t="s">
        <v>5</v>
      </c>
      <c r="N42" s="1" t="s">
        <v>6</v>
      </c>
    </row>
    <row r="43">
      <c r="E43" s="6" t="s">
        <v>8</v>
      </c>
      <c r="F43" s="7"/>
      <c r="H43" s="6" t="s">
        <v>8</v>
      </c>
      <c r="I43" s="8">
        <f t="shared" ref="I43:I47" si="2">0.005*I3+0.003</f>
        <v>0.00663</v>
      </c>
      <c r="J43" s="9">
        <f>0.01/SQRT(12)</f>
        <v>0.002886751346</v>
      </c>
      <c r="L43" s="6" t="s">
        <v>8</v>
      </c>
      <c r="M43" s="8">
        <f t="shared" ref="M43:M47" si="3">0.005*M3+0.003</f>
        <v>0.00671</v>
      </c>
      <c r="N43" s="8">
        <v>0.002886751345948129</v>
      </c>
    </row>
    <row r="44">
      <c r="A44" s="15"/>
      <c r="D44" s="6" t="s">
        <v>9</v>
      </c>
      <c r="E44" s="6" t="s">
        <v>5</v>
      </c>
      <c r="F44" s="6" t="s">
        <v>6</v>
      </c>
      <c r="H44" s="10" t="s">
        <v>10</v>
      </c>
      <c r="I44" s="27">
        <f t="shared" si="2"/>
        <v>0.00744</v>
      </c>
      <c r="J44" s="11">
        <v>0.002886751345948129</v>
      </c>
      <c r="L44" s="10" t="s">
        <v>10</v>
      </c>
      <c r="M44" s="12">
        <f t="shared" si="3"/>
        <v>0.010115</v>
      </c>
      <c r="N44" s="11">
        <v>0.002886751345948129</v>
      </c>
    </row>
    <row r="45">
      <c r="D45" s="6">
        <v>1.0</v>
      </c>
      <c r="E45" s="8">
        <f t="shared" ref="E45:E49" si="4">0.005*E5+0.003</f>
        <v>0.00833</v>
      </c>
      <c r="F45" s="8">
        <f t="shared" ref="F45:F49" si="5">0.01/SQRT(12)</f>
        <v>0.002886751346</v>
      </c>
      <c r="H45" s="16" t="s">
        <v>13</v>
      </c>
      <c r="I45" s="17">
        <f t="shared" si="2"/>
        <v>0.01038</v>
      </c>
      <c r="J45" s="17">
        <v>0.002886751345948129</v>
      </c>
      <c r="L45" s="16" t="s">
        <v>13</v>
      </c>
      <c r="M45" s="17">
        <f t="shared" si="3"/>
        <v>0.010515</v>
      </c>
      <c r="N45" s="17">
        <v>0.002886751345948129</v>
      </c>
    </row>
    <row r="46">
      <c r="D46" s="6">
        <v>0.8</v>
      </c>
      <c r="E46" s="8">
        <f t="shared" si="4"/>
        <v>0.008365</v>
      </c>
      <c r="F46" s="8">
        <f t="shared" si="5"/>
        <v>0.002886751346</v>
      </c>
      <c r="H46" s="18" t="s">
        <v>15</v>
      </c>
      <c r="I46" s="19">
        <f t="shared" si="2"/>
        <v>0.011275</v>
      </c>
      <c r="J46" s="19">
        <v>0.002886751345948129</v>
      </c>
      <c r="L46" s="18" t="s">
        <v>15</v>
      </c>
      <c r="M46" s="19">
        <f t="shared" si="3"/>
        <v>0.011425</v>
      </c>
      <c r="N46" s="19">
        <v>0.002886751345948129</v>
      </c>
    </row>
    <row r="47">
      <c r="D47" s="6">
        <v>0.6</v>
      </c>
      <c r="E47" s="8">
        <f t="shared" si="4"/>
        <v>0.00838</v>
      </c>
      <c r="F47" s="8">
        <f t="shared" si="5"/>
        <v>0.002886751346</v>
      </c>
      <c r="H47" s="20" t="s">
        <v>18</v>
      </c>
      <c r="I47" s="21">
        <f t="shared" si="2"/>
        <v>0.01261</v>
      </c>
      <c r="J47" s="21">
        <v>0.002886751345948129</v>
      </c>
      <c r="L47" s="20" t="s">
        <v>18</v>
      </c>
      <c r="M47" s="21">
        <f t="shared" si="3"/>
        <v>0.012825</v>
      </c>
      <c r="N47" s="21">
        <v>0.002886751345948129</v>
      </c>
    </row>
    <row r="48">
      <c r="D48" s="6">
        <v>0.4</v>
      </c>
      <c r="E48" s="8">
        <f t="shared" si="4"/>
        <v>0.008375</v>
      </c>
      <c r="F48" s="8">
        <f t="shared" si="5"/>
        <v>0.002886751346</v>
      </c>
    </row>
    <row r="49">
      <c r="D49" s="6">
        <v>0.2</v>
      </c>
      <c r="E49" s="8">
        <f t="shared" si="4"/>
        <v>0.008295</v>
      </c>
      <c r="F49" s="8">
        <f t="shared" si="5"/>
        <v>0.002886751346</v>
      </c>
    </row>
    <row r="50">
      <c r="E50" s="10" t="s">
        <v>10</v>
      </c>
      <c r="F50" s="22"/>
    </row>
    <row r="51">
      <c r="D51" s="10" t="s">
        <v>9</v>
      </c>
      <c r="E51" s="10" t="s">
        <v>5</v>
      </c>
      <c r="F51" s="10" t="s">
        <v>6</v>
      </c>
    </row>
    <row r="52">
      <c r="D52" s="10">
        <v>1.0</v>
      </c>
      <c r="E52" s="11">
        <f t="shared" ref="E52:E56" si="6">0.005*E12+0.003</f>
        <v>0.007975</v>
      </c>
      <c r="F52" s="12">
        <f t="shared" ref="F52:F56" si="7">0.01/SQRT(12)</f>
        <v>0.002886751346</v>
      </c>
    </row>
    <row r="53">
      <c r="D53" s="10">
        <v>0.8</v>
      </c>
      <c r="E53" s="11">
        <f t="shared" si="6"/>
        <v>0.008025</v>
      </c>
      <c r="F53" s="11">
        <f t="shared" si="7"/>
        <v>0.002886751346</v>
      </c>
    </row>
    <row r="54">
      <c r="D54" s="10">
        <v>0.6</v>
      </c>
      <c r="E54" s="11">
        <f t="shared" si="6"/>
        <v>0.00804</v>
      </c>
      <c r="F54" s="11">
        <f t="shared" si="7"/>
        <v>0.002886751346</v>
      </c>
    </row>
    <row r="55">
      <c r="D55" s="10">
        <v>0.4</v>
      </c>
      <c r="E55" s="11">
        <f t="shared" si="6"/>
        <v>0.008025</v>
      </c>
      <c r="F55" s="11">
        <f t="shared" si="7"/>
        <v>0.002886751346</v>
      </c>
    </row>
    <row r="56">
      <c r="D56" s="10">
        <v>0.2</v>
      </c>
      <c r="E56" s="11">
        <f t="shared" si="6"/>
        <v>0.008015</v>
      </c>
      <c r="F56" s="11">
        <f t="shared" si="7"/>
        <v>0.002886751346</v>
      </c>
    </row>
    <row r="57">
      <c r="E57" s="16" t="s">
        <v>13</v>
      </c>
      <c r="F57" s="24"/>
    </row>
    <row r="58">
      <c r="D58" s="16" t="s">
        <v>9</v>
      </c>
      <c r="E58" s="16" t="s">
        <v>5</v>
      </c>
      <c r="F58" s="16" t="s">
        <v>6</v>
      </c>
    </row>
    <row r="59">
      <c r="D59" s="16">
        <v>1.0</v>
      </c>
      <c r="E59" s="19">
        <f t="shared" ref="E59:E63" si="8">0.005*E19+0.003</f>
        <v>0.010265</v>
      </c>
      <c r="F59" s="19">
        <v>0.002886751345948129</v>
      </c>
    </row>
    <row r="60">
      <c r="D60" s="16">
        <v>0.8</v>
      </c>
      <c r="E60" s="19">
        <f t="shared" si="8"/>
        <v>0.01036</v>
      </c>
      <c r="F60" s="19">
        <v>0.002886751345948129</v>
      </c>
    </row>
    <row r="61">
      <c r="D61" s="16">
        <v>0.6</v>
      </c>
      <c r="E61" s="19">
        <f t="shared" si="8"/>
        <v>0.01036</v>
      </c>
      <c r="F61" s="19">
        <v>0.002886751345948129</v>
      </c>
    </row>
    <row r="62">
      <c r="D62" s="16">
        <v>0.4</v>
      </c>
      <c r="E62" s="19">
        <f t="shared" si="8"/>
        <v>0.01038</v>
      </c>
      <c r="F62" s="19">
        <v>0.002886751345948129</v>
      </c>
    </row>
    <row r="63">
      <c r="D63" s="16">
        <v>0.2</v>
      </c>
      <c r="E63" s="19">
        <f t="shared" si="8"/>
        <v>0.010335</v>
      </c>
      <c r="F63" s="19">
        <v>0.002886751345948129</v>
      </c>
    </row>
    <row r="64">
      <c r="E64" s="18" t="s">
        <v>23</v>
      </c>
      <c r="F64" s="25"/>
    </row>
    <row r="65">
      <c r="D65" s="18" t="s">
        <v>9</v>
      </c>
      <c r="E65" s="18" t="s">
        <v>5</v>
      </c>
      <c r="F65" s="18" t="s">
        <v>6</v>
      </c>
    </row>
    <row r="66">
      <c r="D66" s="18">
        <v>1.0</v>
      </c>
      <c r="E66" s="19">
        <f t="shared" ref="E66:E70" si="9">0.005*E26+0.003</f>
        <v>0.01125</v>
      </c>
      <c r="F66" s="19">
        <v>0.002886751345948129</v>
      </c>
    </row>
    <row r="67">
      <c r="D67" s="18">
        <v>0.8</v>
      </c>
      <c r="E67" s="19">
        <f t="shared" si="9"/>
        <v>0.01123</v>
      </c>
      <c r="F67" s="19">
        <v>0.002886751345948129</v>
      </c>
    </row>
    <row r="68">
      <c r="D68" s="18">
        <v>0.6</v>
      </c>
      <c r="E68" s="19">
        <f t="shared" si="9"/>
        <v>0.01127</v>
      </c>
      <c r="F68" s="19">
        <v>0.002886751345948129</v>
      </c>
    </row>
    <row r="69">
      <c r="D69" s="18">
        <v>0.4</v>
      </c>
      <c r="E69" s="19">
        <f t="shared" si="9"/>
        <v>0.01122</v>
      </c>
      <c r="F69" s="19">
        <v>0.002886751345948129</v>
      </c>
    </row>
    <row r="70">
      <c r="D70" s="18">
        <v>0.2</v>
      </c>
      <c r="E70" s="19">
        <f t="shared" si="9"/>
        <v>0.01118</v>
      </c>
      <c r="F70" s="19">
        <v>0.00288675134594813</v>
      </c>
    </row>
    <row r="71">
      <c r="E71" s="20" t="s">
        <v>24</v>
      </c>
      <c r="F71" s="26"/>
    </row>
    <row r="72">
      <c r="D72" s="20" t="s">
        <v>9</v>
      </c>
      <c r="E72" s="20" t="s">
        <v>5</v>
      </c>
      <c r="F72" s="20" t="s">
        <v>6</v>
      </c>
    </row>
    <row r="73">
      <c r="D73" s="20">
        <v>1.0</v>
      </c>
      <c r="E73" s="21">
        <f t="shared" ref="E73:E77" si="10">0.005*E33+0.003</f>
        <v>0.012555</v>
      </c>
      <c r="F73" s="21">
        <v>0.002886751345948129</v>
      </c>
    </row>
    <row r="74">
      <c r="D74" s="20">
        <v>0.8</v>
      </c>
      <c r="E74" s="21">
        <f t="shared" si="10"/>
        <v>0.012675</v>
      </c>
      <c r="F74" s="21">
        <v>0.002886751345948129</v>
      </c>
    </row>
    <row r="75">
      <c r="D75" s="20">
        <v>0.6</v>
      </c>
      <c r="E75" s="21">
        <f t="shared" si="10"/>
        <v>0.012625</v>
      </c>
      <c r="F75" s="21">
        <v>0.002886751345948129</v>
      </c>
    </row>
    <row r="76">
      <c r="D76" s="20">
        <v>0.4</v>
      </c>
      <c r="E76" s="21">
        <f t="shared" si="10"/>
        <v>0.012615</v>
      </c>
      <c r="F76" s="21">
        <v>0.002886751345948129</v>
      </c>
    </row>
    <row r="77">
      <c r="D77" s="20">
        <v>0.2</v>
      </c>
      <c r="E77" s="21">
        <f t="shared" si="10"/>
        <v>0.012435</v>
      </c>
      <c r="F77" s="21">
        <v>0.00288675134594813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26</v>
      </c>
      <c r="B1" s="28" t="s">
        <v>27</v>
      </c>
    </row>
    <row r="2">
      <c r="A2" s="23">
        <v>5.1780398950548294E14</v>
      </c>
      <c r="B2" s="8">
        <v>0.726</v>
      </c>
    </row>
    <row r="3">
      <c r="A3" s="11">
        <v>5.489950244929725E14</v>
      </c>
      <c r="B3" s="11">
        <v>0.888</v>
      </c>
    </row>
    <row r="4">
      <c r="A4" s="17">
        <v>6.878600612389822E14</v>
      </c>
      <c r="B4" s="17">
        <v>1.476</v>
      </c>
    </row>
    <row r="5">
      <c r="A5" s="19">
        <v>7.40856775709705E14</v>
      </c>
      <c r="B5" s="19">
        <v>1.655</v>
      </c>
      <c r="H5" s="1"/>
      <c r="I5" s="1"/>
      <c r="J5" s="2"/>
    </row>
    <row r="6">
      <c r="A6" s="21">
        <v>8.202608599127475E14</v>
      </c>
      <c r="B6" s="21">
        <v>1.922</v>
      </c>
      <c r="H6" s="2"/>
      <c r="I6" s="1"/>
      <c r="J6" s="1"/>
    </row>
    <row r="7">
      <c r="H7" s="6"/>
      <c r="I7" s="8"/>
      <c r="J7" s="9"/>
    </row>
    <row r="8">
      <c r="H8" s="10"/>
      <c r="I8" s="11"/>
      <c r="J8" s="11"/>
    </row>
    <row r="9">
      <c r="H9" s="16"/>
      <c r="I9" s="17"/>
      <c r="J9" s="17"/>
    </row>
    <row r="10">
      <c r="H10" s="18"/>
      <c r="I10" s="19"/>
      <c r="J10" s="19"/>
    </row>
    <row r="11">
      <c r="H11" s="20"/>
      <c r="I11" s="21"/>
      <c r="J11" s="21"/>
    </row>
    <row r="15">
      <c r="H15" s="2"/>
      <c r="I15" s="1"/>
      <c r="J15" s="1"/>
      <c r="K15" s="1"/>
    </row>
    <row r="16">
      <c r="H16" s="6"/>
      <c r="I16" s="8"/>
      <c r="J16" s="23"/>
      <c r="K16" s="23"/>
    </row>
    <row r="17">
      <c r="H17" s="10"/>
      <c r="I17" s="11"/>
      <c r="J17" s="11"/>
      <c r="K17" s="11"/>
    </row>
    <row r="18">
      <c r="H18" s="16"/>
      <c r="I18" s="17"/>
      <c r="J18" s="17"/>
      <c r="K18" s="17"/>
    </row>
    <row r="19">
      <c r="H19" s="18"/>
      <c r="I19" s="19"/>
      <c r="J19" s="19"/>
      <c r="K19" s="19"/>
    </row>
    <row r="20">
      <c r="H20" s="20"/>
      <c r="I20" s="21"/>
      <c r="J20" s="21"/>
      <c r="K20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3</v>
      </c>
      <c r="C3" s="1" t="s">
        <v>2</v>
      </c>
    </row>
    <row r="4">
      <c r="B4" s="3"/>
      <c r="C4" s="29" t="s">
        <v>28</v>
      </c>
      <c r="D4" s="1" t="s">
        <v>5</v>
      </c>
      <c r="E4" s="28" t="s">
        <v>29</v>
      </c>
      <c r="F4" s="29" t="s">
        <v>30</v>
      </c>
      <c r="H4" s="1" t="s">
        <v>0</v>
      </c>
      <c r="I4" s="1" t="s">
        <v>2</v>
      </c>
      <c r="J4" s="2"/>
    </row>
    <row r="5">
      <c r="B5" s="6" t="s">
        <v>8</v>
      </c>
      <c r="C5" s="30">
        <f>3*10^8/(578.969*10^(-9))</f>
        <v>518162457748170</v>
      </c>
      <c r="D5" s="31">
        <v>0.742</v>
      </c>
      <c r="E5" s="28">
        <v>0.0</v>
      </c>
      <c r="F5" s="31">
        <v>0.006710000000000001</v>
      </c>
      <c r="H5" s="2"/>
      <c r="I5" s="1" t="s">
        <v>5</v>
      </c>
      <c r="J5" s="28" t="s">
        <v>31</v>
      </c>
      <c r="K5" s="1" t="s">
        <v>6</v>
      </c>
      <c r="L5" s="28" t="s">
        <v>32</v>
      </c>
    </row>
    <row r="6">
      <c r="B6" s="10" t="s">
        <v>10</v>
      </c>
      <c r="C6" s="32">
        <f>3*10^8/(10^(-9)*546.075)</f>
        <v>549375085839857</v>
      </c>
      <c r="D6" s="33">
        <v>1.423</v>
      </c>
      <c r="E6" s="28">
        <v>0.0</v>
      </c>
      <c r="F6" s="27">
        <v>0.010115</v>
      </c>
      <c r="H6" s="6" t="s">
        <v>8</v>
      </c>
      <c r="I6" s="31">
        <v>0.726</v>
      </c>
      <c r="J6" s="34">
        <v>0.0066300000000000005</v>
      </c>
      <c r="K6" s="9">
        <v>2.65</v>
      </c>
      <c r="L6" s="28">
        <v>0.01</v>
      </c>
    </row>
    <row r="7">
      <c r="B7" s="16" t="s">
        <v>13</v>
      </c>
      <c r="C7" s="35">
        <f>3*10^8/(435.8335*10^(-9))</f>
        <v>688336256850380</v>
      </c>
      <c r="D7" s="36">
        <v>1.503</v>
      </c>
      <c r="E7" s="28">
        <v>0.0</v>
      </c>
      <c r="F7" s="36">
        <v>0.010515</v>
      </c>
      <c r="H7" s="10" t="s">
        <v>10</v>
      </c>
      <c r="I7" s="37">
        <v>0.888</v>
      </c>
      <c r="J7" s="34">
        <v>0.00744</v>
      </c>
      <c r="K7" s="11">
        <v>3.57</v>
      </c>
      <c r="L7" s="28">
        <v>0.01</v>
      </c>
    </row>
    <row r="8">
      <c r="B8" s="18" t="s">
        <v>15</v>
      </c>
      <c r="C8" s="38">
        <f>3*10^8/(404.65643*10^(-9))</f>
        <v>741369660183084</v>
      </c>
      <c r="D8" s="39">
        <v>1.685</v>
      </c>
      <c r="E8" s="28">
        <v>0.0</v>
      </c>
      <c r="F8" s="40">
        <v>0.011425000000000001</v>
      </c>
      <c r="H8" s="16" t="s">
        <v>13</v>
      </c>
      <c r="I8" s="36">
        <v>1.476</v>
      </c>
      <c r="J8" s="41">
        <v>0.01038</v>
      </c>
      <c r="K8" s="17">
        <v>4.09</v>
      </c>
      <c r="L8" s="28">
        <v>0.01</v>
      </c>
    </row>
    <row r="9">
      <c r="B9" s="20" t="s">
        <v>18</v>
      </c>
      <c r="C9" s="42">
        <f>3*10^8/(10^(-9)*365.0579)</f>
        <v>821787447963734</v>
      </c>
      <c r="D9" s="43">
        <v>1.965</v>
      </c>
      <c r="E9" s="28">
        <v>0.0</v>
      </c>
      <c r="F9" s="43">
        <v>0.012825</v>
      </c>
      <c r="H9" s="18" t="s">
        <v>15</v>
      </c>
      <c r="I9" s="39">
        <v>1.655</v>
      </c>
      <c r="J9" s="41">
        <v>0.011275</v>
      </c>
      <c r="K9" s="19">
        <v>5.08</v>
      </c>
      <c r="L9" s="28">
        <v>0.01</v>
      </c>
    </row>
    <row r="10">
      <c r="H10" s="20" t="s">
        <v>18</v>
      </c>
      <c r="I10" s="43">
        <v>1.922</v>
      </c>
      <c r="J10" s="41">
        <v>0.01261</v>
      </c>
      <c r="K10" s="21">
        <v>10.94</v>
      </c>
      <c r="L10" s="28">
        <v>0.01</v>
      </c>
    </row>
    <row r="12">
      <c r="B12" s="3"/>
    </row>
    <row r="13">
      <c r="B13" s="1" t="s">
        <v>6</v>
      </c>
      <c r="C13" s="29" t="s">
        <v>33</v>
      </c>
    </row>
    <row r="14">
      <c r="B14" s="8">
        <v>9.12</v>
      </c>
      <c r="C14" s="28">
        <v>0.01</v>
      </c>
      <c r="H14" s="5"/>
      <c r="I14" s="5"/>
    </row>
    <row r="15">
      <c r="B15" s="11">
        <v>7.23</v>
      </c>
      <c r="C15" s="28">
        <v>0.01</v>
      </c>
      <c r="J15" s="5"/>
    </row>
    <row r="16">
      <c r="B16" s="17">
        <v>5.18</v>
      </c>
      <c r="C16" s="28">
        <v>0.01</v>
      </c>
      <c r="H16" s="44"/>
      <c r="J16" s="45"/>
    </row>
    <row r="17">
      <c r="B17" s="19">
        <v>7.54</v>
      </c>
      <c r="C17" s="28">
        <v>0.01</v>
      </c>
      <c r="H17" s="44"/>
      <c r="J17" s="28"/>
    </row>
    <row r="18">
      <c r="B18" s="21">
        <v>10.62</v>
      </c>
      <c r="C18" s="28">
        <v>0.01</v>
      </c>
      <c r="H18" s="44"/>
      <c r="J18" s="28"/>
    </row>
    <row r="19">
      <c r="H19" s="44"/>
      <c r="J19" s="28"/>
    </row>
    <row r="20">
      <c r="H20" s="44"/>
      <c r="J20" s="28"/>
    </row>
    <row r="21">
      <c r="I21" s="28" t="s">
        <v>34</v>
      </c>
    </row>
    <row r="22">
      <c r="I22" s="28" t="s">
        <v>35</v>
      </c>
      <c r="J22" s="46">
        <f>abs(I7-D6)/I7*100</f>
        <v>60.24774775</v>
      </c>
    </row>
    <row r="23">
      <c r="B23" s="5" t="s">
        <v>36</v>
      </c>
      <c r="E23" s="28" t="s">
        <v>37</v>
      </c>
      <c r="F23" s="47">
        <f>1.602*10^(-19)</f>
        <v>0</v>
      </c>
    </row>
    <row r="24">
      <c r="B24" s="28" t="s">
        <v>38</v>
      </c>
      <c r="C24" s="48">
        <f>3.62*10^(-15)</f>
        <v>0</v>
      </c>
      <c r="E24" s="28" t="s">
        <v>39</v>
      </c>
      <c r="F24" s="49">
        <f>6.626*10^(-34)</f>
        <v>0</v>
      </c>
    </row>
    <row r="25">
      <c r="B25" s="28" t="s">
        <v>40</v>
      </c>
      <c r="C25" s="48">
        <f>3.83*10^(-17)</f>
        <v>0</v>
      </c>
      <c r="D25" s="50"/>
    </row>
    <row r="26">
      <c r="B26" s="28" t="s">
        <v>41</v>
      </c>
      <c r="C26" s="51">
        <f>-9.79*10^(-1)</f>
        <v>-0.979</v>
      </c>
    </row>
    <row r="27">
      <c r="B27" s="28" t="s">
        <v>42</v>
      </c>
      <c r="C27" s="51">
        <f>2.4*10^(-2)</f>
        <v>0.024</v>
      </c>
    </row>
    <row r="28">
      <c r="B28" s="28" t="s">
        <v>43</v>
      </c>
      <c r="C28" s="28">
        <v>736.730584</v>
      </c>
    </row>
    <row r="29">
      <c r="B29" s="28" t="s">
        <v>44</v>
      </c>
      <c r="C29" s="28">
        <v>0.763246</v>
      </c>
    </row>
    <row r="31">
      <c r="B31" s="28" t="s">
        <v>45</v>
      </c>
      <c r="C31" s="48">
        <f>C24*(1.602*10^(-19))</f>
        <v>0</v>
      </c>
      <c r="D31" s="48">
        <f>C31+C32</f>
        <v>0</v>
      </c>
    </row>
    <row r="32">
      <c r="B32" s="28" t="s">
        <v>46</v>
      </c>
      <c r="C32" s="48">
        <f>C31/C24*C25</f>
        <v>0</v>
      </c>
      <c r="D32" s="52"/>
    </row>
    <row r="33">
      <c r="B33" s="28" t="s">
        <v>47</v>
      </c>
      <c r="C33" s="53">
        <f>abs(C31-F24)/C31*100</f>
        <v>14.25635083</v>
      </c>
    </row>
    <row r="35">
      <c r="B35" s="28" t="s">
        <v>48</v>
      </c>
      <c r="C35" s="48">
        <f>-C26/C24</f>
        <v>270441988950276</v>
      </c>
    </row>
    <row r="36">
      <c r="B36" s="28" t="s">
        <v>49</v>
      </c>
      <c r="C36" s="54">
        <f>SQRT(SUMSQ(C35/C26*C27,C35/C24*C25))</f>
        <v>7220926186104</v>
      </c>
      <c r="D36" s="52">
        <f>0.072*10^(14)</f>
        <v>7200000000000</v>
      </c>
    </row>
    <row r="39">
      <c r="C39" s="28" t="s">
        <v>50</v>
      </c>
      <c r="D39" s="28" t="s">
        <v>51</v>
      </c>
    </row>
    <row r="40">
      <c r="B40" s="28" t="s">
        <v>52</v>
      </c>
      <c r="C40" s="55">
        <f t="shared" ref="C40:C43" si="1">ASIN(2*(3*10^8/C6)*6*10^5)</f>
        <v>0.7145664706</v>
      </c>
      <c r="D40" s="46">
        <f t="shared" ref="D40:D43" si="2">ASIN(3*(3*10^8/C6)*6*10^5)</f>
        <v>1.385789528</v>
      </c>
    </row>
    <row r="41">
      <c r="B41" s="28" t="s">
        <v>53</v>
      </c>
      <c r="C41" s="46">
        <f t="shared" si="1"/>
        <v>0.5503671523</v>
      </c>
      <c r="D41" s="46">
        <f t="shared" si="2"/>
        <v>0.901889915</v>
      </c>
    </row>
    <row r="42">
      <c r="B42" s="28" t="s">
        <v>54</v>
      </c>
      <c r="C42" s="46">
        <f t="shared" si="1"/>
        <v>0.5070353416</v>
      </c>
      <c r="D42" s="46">
        <f t="shared" si="2"/>
        <v>0.8159569018</v>
      </c>
    </row>
    <row r="43">
      <c r="B43" s="28" t="s">
        <v>55</v>
      </c>
      <c r="C43" s="46">
        <f t="shared" si="1"/>
        <v>0.4534499979</v>
      </c>
      <c r="D43" s="55">
        <f t="shared" si="2"/>
        <v>0.71697072</v>
      </c>
    </row>
  </sheetData>
  <drawing r:id="rId1"/>
</worksheet>
</file>